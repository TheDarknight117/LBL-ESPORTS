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Listas" sheetId="2" r:id="rId6"/>
    <sheet state="visible" name="Horarios" sheetId="3" r:id="rId7"/>
    <sheet state="visible" name="Hoja 7" sheetId="4" r:id="rId8"/>
    <sheet state="visible" name="Planificación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tc={05ac6c49-7d9b-4660-8b50-a2973d844bca}</author>
    <author>tc={060e1ba0-0f41-4c00-937c-884a99503ad4}</author>
    <author>tc={08feb454-5ac2-4d00-b5dd-a1c59aa2ccb9}</author>
    <author>tc={0ae3bb0f-1d96-4fcd-a838-428458a7725a}</author>
    <author>tc={0c671d67-e859-448c-9b7c-fbfaa3eb1e20}</author>
    <author>tc={1185ef47-fe52-49ce-bbca-47a72c934cdf}</author>
    <author>tc={124645f7-8500-464b-bf48-1061c6ba7ca9}</author>
    <author>tc={14996596-0a57-4d73-bb00-e793485d8cd7}</author>
    <author>tc={156325c1-8808-484a-b4cf-81487fbcc96e}</author>
    <author>tc={15fc76eb-188a-4f43-9856-a5d4b8ec1dc5}</author>
    <author>tc={167bc1cf-205f-4540-83ef-acfe2f71569a}</author>
    <author>tc={1845e624-8480-4bf6-abce-bb8668a8c7a7}</author>
    <author>tc={19a877e0-3971-4bc9-9f1b-78522b9f4deb}</author>
    <author>tc={19b1803d-67fc-4c9f-bdb4-739c62c079fa}</author>
    <author>tc={1c5544ee-50d6-4532-904b-b70ade60fe7f}</author>
    <author>tc={1f355200-ff82-4a69-8913-c59b641ddb32}</author>
    <author>tc={1fc1d969-0ff8-42a4-85a1-7a7cfc800900}</author>
    <author>tc={233f73ab-2a23-487f-8c40-a08d31905252}</author>
    <author>tc={27739f49-1644-4003-a2bb-d7284045e211}</author>
    <author>tc={27e5755d-506a-4e98-a3ed-10278313ae5b}</author>
    <author>tc={291be4f0-15f3-48f4-91da-bf077306d853}</author>
    <author>tc={2ad6fad1-1981-4b60-be6a-4a8f23ffd56b}</author>
    <author>tc={2af38c0e-d688-4006-9b51-0ba7e6ce6a69}</author>
    <author>tc={2d808bcf-244f-42c9-9c36-80c7fbafc74f}</author>
    <author>tc={2dd5f171-7dd5-48ee-8772-a952bd6f0560}</author>
    <author>tc={30f0c397-5435-4973-a4af-80b7b7bf3ebe}</author>
    <author>tc={3457277a-43ca-4802-a348-e631e549c496}</author>
    <author>tc={357702f1-c13b-4413-aba0-8334f1e7e139}</author>
    <author>tc={363e4165-9b7d-4020-b9b6-88a98ad37f61}</author>
    <author>tc={37f3465a-2a0a-4aa3-990b-bb6822b613d5}</author>
    <author>tc={3bb29c0b-5c1e-4c11-bfad-50ce1a1f7eaa}</author>
    <author>tc={3e923621-53b4-4c68-9772-7730be76d618}</author>
    <author>tc={402a8cb4-1310-4d88-a556-724e9a54e199}</author>
    <author>tc={4145c026-95ee-4212-b995-3b72a9c47413}</author>
    <author>tc={439eceef-19b8-4071-ad5a-623a8622076c}</author>
    <author>tc={43c96d28-e151-43e3-80d8-3e2507801527}</author>
    <author>tc={43d11844-4c1b-4330-8514-12bb8dc0a49f}</author>
    <author>tc={44713f0e-1e81-4af6-a62e-edcf908a90fd}</author>
    <author>tc={44f29a0d-17d9-428f-8639-41d0a0cb655d}</author>
    <author>tc={4871c714-f892-484d-ba46-c9157682b29e}</author>
    <author>tc={49497900-cc76-45ac-8d8b-1c13e09450cf}</author>
    <author>tc={4b4316f9-f88d-48cc-ae70-59872067fe44}</author>
    <author>tc={4bf80abf-1db9-4977-b602-17d8ee868894}</author>
    <author>tc={4c42837b-09a8-43b4-9835-aab26bb81437}</author>
    <author>tc={4f41dc24-4690-4ee8-9559-eff5080a89e4}</author>
    <author>tc={50748943-d19f-411a-bcc8-f7ee9918fdee}</author>
    <author>tc={52b69e35-a94b-48c2-9060-778077f242f7}</author>
    <author>tc={53de586d-6b09-40db-9353-5cc66c6659a6}</author>
    <author>tc={549285b7-4e27-484d-b200-58942eb92ef0}</author>
    <author>tc={558de49f-9ff3-4656-acdd-7e975516539b}</author>
    <author>tc={5f860c69-d528-4b1d-8224-cedb881028b0}</author>
    <author>tc={5fcea56e-edfe-4357-aa86-ce28a1d3e30d}</author>
    <author>tc={613f48f1-fb7d-4bbb-817d-43095e5780af}</author>
    <author>tc={62602e5c-c847-42af-91ca-2423e83ea072}</author>
    <author>tc={65fdee19-633c-4500-9928-febabb118b47}</author>
    <author>tc={662ae91d-c527-4354-845d-f667eaa31af3}</author>
    <author>tc={67d3fa8f-8d3e-4a4c-8e10-aa67f0a227da}</author>
    <author>tc={684b1793-5f88-40f1-be4b-ce7af69b7d92}</author>
    <author>tc={6965dc1b-6bb6-46e3-a039-6916dfea8b8c}</author>
    <author>tc={6ccbd001-4d42-4e51-86e1-6c77323a25a4}</author>
    <author>tc={6ef6df43-a423-4504-8707-c9213dcd5cce}</author>
    <author>tc={721c7d42-c978-403f-a577-f996d408de28}</author>
    <author>tc={77d7010f-5ed3-4929-b4fc-c1f24558dfe8}</author>
    <author>tc={7c1a9733-b412-42c3-9626-ed83e89d101b}</author>
    <author>tc={7e8e6f23-ec53-404c-a1b1-005f7e07b62e}</author>
    <author>tc={82a2bb0d-20d0-4eb7-a723-eb2c47de22b1}</author>
    <author>tc={85d7ece0-b96a-49a9-8ddd-10d6f0e7da98}</author>
    <author>tc={881e183b-0ce8-444b-b23a-233685b9dfbb}</author>
    <author>tc={8f0575af-2f0a-47cb-aeed-7db7872c2afe}</author>
    <author>tc={909e85a9-50fc-43c6-98e9-3b9d5958a431}</author>
    <author>tc={934a8724-e281-45ce-8c9a-87695c62261f}</author>
    <author>tc={96baaa27-2c62-4e05-8fb4-72a817fd0ecb}</author>
    <author>tc={9a2a4106-2bc8-4ab2-aa48-728efb1411a2}</author>
    <author>tc={9e617c1a-fbfb-4550-94dc-5689c0da9700}</author>
    <author>tc={9f647654-3767-46c6-a3fc-2f14a49a4406}</author>
    <author>tc={a1467145-5f9e-4241-9c3a-4e45ed2ca347}</author>
    <author>tc={a6a4f6c9-f22c-4a00-b5f4-9b8ce549d387}</author>
    <author>tc={aa69bf9d-7e99-45f7-88e9-53cab6d5654a}</author>
    <author>tc={adde6667-1684-41f4-b0ab-ae3516ba2fd6}</author>
    <author>tc={af744011-81c8-4285-946d-af3cb860d6c4}</author>
    <author>tc={b52090f8-2f74-4324-b758-6a33ddd571ae}</author>
    <author>tc={b7a498f7-dba1-4d65-b4e6-4a47d76d29e0}</author>
    <author>tc={b7be2e31-1591-47f4-b85f-628665743b1a}</author>
    <author>tc={bcc20891-126c-4eb3-bb1a-f7897601476b}</author>
    <author>tc={be34a03d-b4c0-4ec7-beb7-8b8c8e375e0d}</author>
    <author>tc={c35fb4be-a1b2-4686-85b7-f8a88f468ee4}</author>
    <author>tc={c64fce93-9a92-4966-93ce-575bae840cec}</author>
    <author>tc={ca67cf35-651b-41fa-9a8d-cddb84ab2567}</author>
    <author>tc={cbe7a613-952a-4ac8-b8b8-701d7d057f5b}</author>
    <author>tc={d2f8470e-d329-4e59-80ad-d6ea0bc5f488}</author>
    <author>tc={d4c29492-1c8f-4ea1-a155-7e5f875aef05}</author>
    <author>tc={d51863f8-4c33-4ab4-9eca-f000ccbf5fd7}</author>
    <author>tc={dbd99ec8-307d-45f6-aa10-3054a76a67ca}</author>
    <author>tc={de9c55c1-828e-4f64-93f5-94d2e0771514}</author>
    <author>tc={df1fb5ca-d099-4750-bc16-9ac2c4a3b531}</author>
    <author>tc={e27f9a03-3de6-458b-b426-c33cb7ee720f}</author>
    <author>tc={e2de6ab3-44cb-4ff1-b713-bb8161dd736f}</author>
    <author>tc={e3fa6bed-790e-48f6-a239-d5e6ac69fa6c}</author>
    <author>tc={e61feff3-2686-4e74-a6d9-ef5c0a54b405}</author>
    <author>tc={e8322989-d524-419e-8c0f-281f1bedae7d}</author>
    <author>tc={e932fa51-d1fa-4a6e-910c-a12001340a56}</author>
    <author>tc={ee0b1e48-0976-4b02-a8b3-781dc6255119}</author>
    <author>tc={f0fea651-f065-496b-8808-bb994812c84e}</author>
    <author>tc={f8fc4ca4-b388-445d-bc3f-4734a5f186de}</author>
    <author>tc={f971efa5-53c9-4a63-97f9-501f5120ea18}</author>
    <author>tc={fb3677ec-fb88-48d0-bacf-5d65bc83560c}</author>
    <author>tc={fc2cd04f-3682-4d00-a8ef-44c911bc2a47}</author>
    <author>tc={fd54ac01-25ee-4e96-8547-9be1460e050e}</author>
    <author>tc={fd6f51ec-b6b0-4079-b4fb-c497ae3e671a}</author>
    <author>tc={fd93a6c4-94f4-4bca-95ab-c6d216c8cd47}</author>
    <author>tc={fdcffa71-ccb4-4cdc-86dd-e929bcb348b4}</author>
    <author>tc={fe10c1d5-582c-468e-bcba-71cf96525961}</author>
    <author>tc={fe83a68f-1db9-44d7-bb41-e196e8142652}</author>
    <author>tc={ff1e3955-1c9e-4fd1-87ee-461a59da8a3e}</author>
    <author>tc={ff50631e-71bc-4c20-b7a9-4ef859a79500}</author>
  </authors>
  <commentList>
    <comment authorId="0" xr:uid="{05ac6c49-7d9b-4660-8b50-a2973d844bca}" ref="X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es su cuenta main de lan, esta bien.
</t>
      </text>
    </comment>
    <comment authorId="1" xr:uid="{060e1ba0-0f41-4c00-937c-884a99503ad4}" ref="BA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cuenta No juega soporte
</t>
      </text>
    </comment>
    <comment authorId="2" xr:uid="{08feb454-5ac2-4d00-b5dd-a1c59aa2ccb9}" ref="Q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cuenta principal
</t>
      </text>
    </comment>
    <comment authorId="3" xr:uid="{0ae3bb0f-1d96-4fcd-a838-428458a7725a}" ref="AI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cuenta no tiene partidas jugadas, pedir cuenta principal
</t>
      </text>
    </comment>
    <comment authorId="4" xr:uid="{0c671d67-e859-448c-9b7c-fbfaa3eb1e20}" ref="AI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tiene partidas en esta cuenta
</t>
      </text>
    </comment>
    <comment authorId="5" xr:uid="{1185ef47-fe52-49ce-bbca-47a72c934cdf}" ref="AI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Cuenta main adc, verificar cuenta principal. No coincide con el elo mencionado
</t>
      </text>
    </comment>
    <comment authorId="6" xr:uid="{124645f7-8500-464b-bf48-1061c6ba7ca9}" ref="X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cuenta no juega JG. Pedir cuenta principal
</t>
      </text>
    </comment>
    <comment authorId="7" xr:uid="{14996596-0a57-4d73-bb00-e793485d8cd7}" ref="AR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cuenta no juega adc
</t>
      </text>
    </comment>
    <comment authorId="8" xr:uid="{156325c1-8808-484a-b4cf-81487fbcc96e}" ref="AI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cuenta no es main mid
</t>
      </text>
    </comment>
    <comment authorId="9" xr:uid="{15fc76eb-188a-4f43-9856-a5d4b8ec1dc5}" ref="Z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coincide con el elo mencionado. Verificar cuenta
</t>
      </text>
    </comment>
    <comment authorId="10" xr:uid="{167bc1cf-205f-4540-83ef-acfe2f71569a}" ref="Z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cuenta tiene pocas partidas recientes, confirmar cuenta y hace cuanto tiempo juega lol
</t>
      </text>
    </comment>
    <comment authorId="11" xr:uid="{1845e624-8480-4bf6-abce-bb8668a8c7a7}" ref="BA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cuenta Principal.
</t>
      </text>
    </comment>
    <comment authorId="12" xr:uid="{19a877e0-3971-4bc9-9f1b-78522b9f4deb}" ref="Z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Cuenta main soporte
</t>
      </text>
    </comment>
    <comment authorId="13" xr:uid="{19b1803d-67fc-4c9f-bdb4-739c62c079fa}" ref="Q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cuenta juega top y adc pero menciona que no flexea linea
</t>
      </text>
    </comment>
    <comment authorId="14" xr:uid="{1c5544ee-50d6-4532-904b-b70ade60fe7f}" ref="AI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tiene ninguna partida reciente
</t>
      </text>
    </comment>
    <comment authorId="15" xr:uid="{1f355200-ff82-4a69-8913-c59b641ddb32}" ref="AR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cuenta Principal
</t>
      </text>
    </comment>
    <comment authorId="16" xr:uid="{1fc1d969-0ff8-42a4-85a1-7a7cfc800900}" ref="AR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juega adc, tiene pocas partidas recientes.
</t>
      </text>
    </comment>
    <comment authorId="17" xr:uid="{233f73ab-2a23-487f-8c40-a08d31905252}" ref="AR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cuenta principal
</t>
      </text>
    </comment>
    <comment authorId="18" xr:uid="{27739f49-1644-4003-a2bb-d7284045e211}" ref="X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juega ranked ni normales desde hace tiempo. Pedir cuenta principal
</t>
      </text>
    </comment>
    <comment authorId="19" xr:uid="{27e5755d-506a-4e98-a3ed-10278313ae5b}" ref="B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cuenta no tiene partidas de Soporte
</t>
      </text>
    </comment>
    <comment authorId="20" xr:uid="{291be4f0-15f3-48f4-91da-bf077306d853}" ref="AI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cuenta principal
</t>
      </text>
    </comment>
    <comment authorId="21" xr:uid="{2ad6fad1-1981-4b60-be6a-4a8f23ffd56b}" ref="Q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Cuenta con partidas recientes de soporte, verificar posicion y su cuenta principal
</t>
      </text>
    </comment>
    <comment authorId="22" xr:uid="{2af38c0e-d688-4006-9b51-0ba7e6ce6a69}" ref="BA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cuenta no juega soporte
</t>
      </text>
    </comment>
    <comment authorId="23" xr:uid="{2d808bcf-244f-42c9-9c36-80c7fbafc74f}" ref="AR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cuenta principal
</t>
      </text>
    </comment>
    <comment authorId="24" xr:uid="{2dd5f171-7dd5-48ee-8772-a952bd6f0560}" ref="AI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cuenta no corresponde al peak elo.
</t>
      </text>
    </comment>
    <comment authorId="25" xr:uid="{30f0c397-5435-4973-a4af-80b7b7bf3ebe}" ref="Q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Pocas partidas recientes y estadisticas sospechosas, pedir cuenta principal
</t>
      </text>
    </comment>
    <comment authorId="26" xr:uid="{3457277a-43ca-4802-a348-e631e549c496}" ref="Q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cuenta nunco estuvo en diamante. pedir cuenta principal
</t>
      </text>
    </comment>
    <comment authorId="27" xr:uid="{357702f1-c13b-4413-aba0-8334f1e7e139}" ref="BA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cuenta no juega Soporte
</t>
      </text>
    </comment>
    <comment authorId="28" xr:uid="{363e4165-9b7d-4020-b9b6-88a98ad37f61}" ref="X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 lo llené
</t>
      </text>
    </comment>
    <comment authorId="29" xr:uid="{37f3465a-2a0a-4aa3-990b-bb6822b613d5}" ref="Q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Cuenta no corresponde al elo. Pedir cuenta principal
</t>
      </text>
    </comment>
    <comment authorId="30" xr:uid="{3bb29c0b-5c1e-4c11-bfad-50ce1a1f7eaa}" ref="Z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muy pocas partidas recientes
</t>
      </text>
    </comment>
    <comment authorId="31" xr:uid="{3e923621-53b4-4c68-9772-7730be76d618}" ref="BA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cuenta no es main soporte
</t>
      </text>
    </comment>
    <comment authorId="32" xr:uid="{402a8cb4-1310-4d88-a556-724e9a54e199}" ref="X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 lo llené
</t>
      </text>
    </comment>
    <comment authorId="33" xr:uid="{4145c026-95ee-4212-b995-3b72a9c47413}" ref="Z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coincide con elo mencionado. Verificar cuenta
</t>
      </text>
    </comment>
    <comment authorId="34" xr:uid="{439eceef-19b8-4071-ad5a-623a8622076c}" ref="Z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cuenta no juega JG, ni mucho menos sus secundarias
</t>
      </text>
    </comment>
    <comment authorId="35" xr:uid="{43c96d28-e151-43e3-80d8-3e2507801527}" ref="AR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cuenta principal
</t>
      </text>
    </comment>
    <comment authorId="36" xr:uid="{43d11844-4c1b-4330-8514-12bb8dc0a49f}" ref="X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Enlace incorrecto
</t>
      </text>
    </comment>
    <comment authorId="37" xr:uid="{44713f0e-1e81-4af6-a62e-edcf908a90fd}" ref="AR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cuenta no juega adc
</t>
      </text>
    </comment>
    <comment authorId="38" xr:uid="{44f29a0d-17d9-428f-8639-41d0a0cb655d}" ref="AR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cuenta no juega adc. Tiene partidas recientes de adc
</t>
      </text>
    </comment>
    <comment authorId="39" xr:uid="{4871c714-f892-484d-ba46-c9157682b29e}" ref="AR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tiene partidas en la cuenta.
</t>
      </text>
    </comment>
    <comment authorId="40" xr:uid="{49497900-cc76-45ac-8d8b-1c13e09450cf}" ref="B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la cuenta principal
</t>
      </text>
    </comment>
    <comment authorId="41" xr:uid="{4b4316f9-f88d-48cc-ae70-59872067fe44}" ref="O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 se lo agregué
</t>
      </text>
    </comment>
    <comment authorId="42" xr:uid="{4bf80abf-1db9-4977-b602-17d8ee868894}" ref="AI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cuenta principal.
</t>
      </text>
    </comment>
    <comment authorId="43" xr:uid="{4c42837b-09a8-43b4-9835-aab26bb81437}" ref="AI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su cuenta principal
</t>
      </text>
    </comment>
    <comment authorId="44" xr:uid="{4f41dc24-4690-4ee8-9559-eff5080a89e4}" ref="AI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cuenta principal, esta cuenta es main adc
</t>
      </text>
    </comment>
    <comment authorId="45" xr:uid="{50748943-d19f-411a-bcc8-f7ee9918fdee}" ref="X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es su cuenta principal
</t>
      </text>
    </comment>
    <comment authorId="46" xr:uid="{52b69e35-a94b-48c2-9060-778077f242f7}" ref="AP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 lo agregué
</t>
      </text>
    </comment>
    <comment authorId="47" xr:uid="{53de586d-6b09-40db-9353-5cc66c6659a6}" ref="X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 lo corregí
</t>
      </text>
    </comment>
    <comment authorId="48" xr:uid="{549285b7-4e27-484d-b200-58942eb92ef0}" ref="BA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su cuenta principal
</t>
      </text>
    </comment>
    <comment authorId="49" xr:uid="{558de49f-9ff3-4656-acdd-7e975516539b}" ref="AI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su cuenta principal
</t>
      </text>
    </comment>
    <comment authorId="50" xr:uid="{5f860c69-d528-4b1d-8224-cedb881028b0}" ref="AI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su cuenta principal
</t>
      </text>
    </comment>
    <comment authorId="51" xr:uid="{5fcea56e-edfe-4357-aa86-ce28a1d3e30d}" ref="AP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cuenta no corresponde a GM
</t>
      </text>
    </comment>
    <comment authorId="52" xr:uid="{613f48f1-fb7d-4bbb-817d-43095e5780af}" ref="AG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corresponde al elo mencionado
</t>
      </text>
    </comment>
    <comment authorId="53" xr:uid="{62602e5c-c847-42af-91ca-2423e83ea072}" ref="Z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cuenta no coincide con el elo mencionado. Verificar cuenta.
</t>
      </text>
    </comment>
    <comment authorId="54" xr:uid="{65fdee19-633c-4500-9928-febabb118b47}" ref="Z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Cuenta nivel 20
</t>
      </text>
    </comment>
    <comment authorId="55" xr:uid="{662ae91d-c527-4354-845d-f667eaa31af3}" ref="BA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cuenta no mainea soporte.
</t>
      </text>
    </comment>
    <comment authorId="56" xr:uid="{67d3fa8f-8d3e-4a4c-8e10-aa67f0a227da}" ref="BA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cuenta no tiene partidas.
</t>
      </text>
    </comment>
    <comment authorId="57" xr:uid="{684b1793-5f88-40f1-be4b-ce7af69b7d92}" ref="B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partidas recientes de soporte.
</t>
      </text>
    </comment>
    <comment authorId="58" xr:uid="{6965dc1b-6bb6-46e3-a039-6916dfea8b8c}" ref="Z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cuenta esta sin partidas recientes. Pedir cuenta principal
</t>
      </text>
    </comment>
    <comment authorId="59" xr:uid="{6ccbd001-4d42-4e51-86e1-6c77323a25a4}" ref="BA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cuenta no Juega soporte
</t>
      </text>
    </comment>
    <comment authorId="60" xr:uid="{6ef6df43-a423-4504-8707-c9213dcd5cce}" ref="Z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cuenta principal, no coincide con elo mencionado
</t>
      </text>
    </comment>
    <comment authorId="61" xr:uid="{721c7d42-c978-403f-a577-f996d408de28}" ref="Q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Solo juega normales. Hacer seguimiento.
</t>
      </text>
    </comment>
    <comment authorId="62" xr:uid="{77d7010f-5ed3-4929-b4fc-c1f24558dfe8}" ref="Q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tiene partidas en esta cuenta
</t>
      </text>
    </comment>
    <comment authorId="63" xr:uid="{7c1a9733-b412-42c3-9626-ed83e89d101b}" ref="Q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pocas partidas recientes. Verificar cuenta
</t>
      </text>
    </comment>
    <comment authorId="64" xr:uid="{7e8e6f23-ec53-404c-a1b1-005f7e07b62e}" ref="BA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Cuenta no corresponde al rango
</t>
      </text>
    </comment>
    <comment authorId="65" xr:uid="{82a2bb0d-20d0-4eb7-a723-eb2c47de22b1}" ref="Z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corresponde el rango mencionado. Pedir cuenta principal
</t>
      </text>
    </comment>
    <comment authorId="66" xr:uid="{85d7ece0-b96a-49a9-8ddd-10d6f0e7da98}" ref="BA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Cuenta no tiene partidas de soporte
</t>
      </text>
    </comment>
    <comment authorId="67" xr:uid="{881e183b-0ce8-444b-b23a-233685b9dfbb}" ref="A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Linea principal JG luego ADC
</t>
      </text>
    </comment>
    <comment authorId="68" xr:uid="{8f0575af-2f0a-47cb-aeed-7db7872c2afe}" ref="Y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corresponde al rango de la cuenta
</t>
      </text>
    </comment>
    <comment authorId="69" xr:uid="{909e85a9-50fc-43c6-98e9-3b9d5958a431}" ref="O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 se lo agregé
</t>
      </text>
    </comment>
    <comment authorId="70" xr:uid="{934a8724-e281-45ce-8c9a-87695c62261f}" ref="AI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cuenta juega más Soporte que Adc
</t>
      </text>
    </comment>
    <comment authorId="71" xr:uid="{96baaa27-2c62-4e05-8fb4-72a817fd0ecb}" ref="AY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tiene partidas como Soporte
</t>
      </text>
    </comment>
    <comment authorId="72" xr:uid="{9a2a4106-2bc8-4ab2-aa48-728efb1411a2}" ref="BA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cuenta principal.
</t>
      </text>
    </comment>
    <comment authorId="73" xr:uid="{9e617c1a-fbfb-4550-94dc-5689c0da9700}" ref="AY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corresponde al elo mencionado
</t>
      </text>
    </comment>
    <comment authorId="74" xr:uid="{9f647654-3767-46c6-a3fc-2f14a49a4406}" ref="Q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cuenta principal
</t>
      </text>
    </comment>
    <comment authorId="75" xr:uid="{a1467145-5f9e-4241-9c3a-4e45ed2ca347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Reembolsado
</t>
      </text>
    </comment>
    <comment authorId="76" xr:uid="{a6a4f6c9-f22c-4a00-b5f4-9b8ce549d387}" ref="BF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Tienne que indicar sus Roles
</t>
      </text>
    </comment>
    <comment authorId="77" xr:uid="{aa69bf9d-7e99-45f7-88e9-53cab6d5654a}" ref="Q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Puros arams y arena en la cuenta. Hacer seguimiento durante el torneo
</t>
      </text>
    </comment>
    <comment authorId="78" xr:uid="{adde6667-1684-41f4-b0ab-ae3516ba2fd6}" ref="AR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cuenta principal
</t>
      </text>
    </comment>
    <comment authorId="79" xr:uid="{af744011-81c8-4285-946d-af3cb860d6c4}" ref="AR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cuenta no juega ADC
</t>
      </text>
    </comment>
    <comment authorId="80" xr:uid="{b52090f8-2f74-4324-b758-6a33ddd571ae}" ref="Q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Todo en orden pero hacer seguimiento en caso de smurf
</t>
      </text>
    </comment>
    <comment authorId="81" xr:uid="{b7a498f7-dba1-4d65-b4e6-4a47d76d29e0}" ref="AG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Cuenta main, correcta
</t>
      </text>
    </comment>
    <comment authorId="82" xr:uid="{b7be2e31-1591-47f4-b85f-628665743b1a}" ref="AG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 lo llené
</t>
      </text>
    </comment>
    <comment authorId="83" xr:uid="{bcc20891-126c-4eb3-bb1a-f7897601476b}" ref="L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cuenta es main adc
</t>
      </text>
    </comment>
    <comment authorId="84" xr:uid="{be34a03d-b4c0-4ec7-beb7-8b8c8e375e0d}" ref="Q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cuenta principal
</t>
      </text>
    </comment>
    <comment authorId="85" xr:uid="{c35fb4be-a1b2-4686-85b7-f8a88f468ee4}" ref="AI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su cuenta principal
</t>
      </text>
    </comment>
    <comment authorId="86" xr:uid="{c64fce93-9a92-4966-93ce-575bae840cec}" ref="AR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cuenta no tiene partidas
</t>
      </text>
    </comment>
    <comment authorId="87" xr:uid="{ca67cf35-651b-41fa-9a8d-cddb84ab2567}" ref="AI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la cuenta de lan
</t>
      </text>
    </comment>
    <comment authorId="88" xr:uid="{cbe7a613-952a-4ac8-b8b8-701d7d057f5b}" ref="Z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 cuenta principal
</t>
      </text>
    </comment>
    <comment authorId="89" xr:uid="{d2f8470e-d329-4e59-80ad-d6ea0bc5f488}" ref="BA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cuenta es main adc. Hacer seguimiento.
</t>
      </text>
    </comment>
    <comment authorId="90" xr:uid="{d4c29492-1c8f-4ea1-a155-7e5f875aef05}" ref="Z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cuenta juega top
</t>
      </text>
    </comment>
    <comment authorId="91" xr:uid="{d51863f8-4c33-4ab4-9eca-f000ccbf5fd7}" ref="Q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Casi no tiene partidas con esta cuenta
</t>
      </text>
    </comment>
    <comment authorId="92" xr:uid="{dbd99ec8-307d-45f6-aa10-3054a76a67ca}" ref="BA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su cuenta principal
</t>
      </text>
    </comment>
    <comment authorId="93" xr:uid="{de9c55c1-828e-4f64-93f5-94d2e0771514}" ref="AR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su cuenta personal.
</t>
      </text>
    </comment>
    <comment authorId="94" xr:uid="{df1fb5ca-d099-4750-bc16-9ac2c4a3b531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 cuentas son de LAN
</t>
      </text>
    </comment>
    <comment authorId="95" xr:uid="{e27f9a03-3de6-458b-b426-c33cb7ee720f}" ref="AI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Muy probablemente sea smurf
</t>
      </text>
    </comment>
    <comment authorId="96" xr:uid="{e2de6ab3-44cb-4ff1-b713-bb8161dd736f}" ref="AR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cuenta no juega adc
</t>
      </text>
    </comment>
    <comment authorId="97" xr:uid="{e3fa6bed-790e-48f6-a239-d5e6ac69fa6c}" ref="Z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Cuenta main Mid
</t>
      </text>
    </comment>
    <comment authorId="98" xr:uid="{e61feff3-2686-4e74-a6d9-ef5c0a54b405}" ref="Q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muy pocas partidas en la cuenta
</t>
      </text>
    </comment>
    <comment authorId="99" xr:uid="{e8322989-d524-419e-8c0f-281f1bedae7d}" ref="Q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cuenta principal
</t>
      </text>
    </comment>
    <comment authorId="100" xr:uid="{e932fa51-d1fa-4a6e-910c-a12001340a56}" ref="O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Nivel 67. Verificar si tuvo otra cuenta.
</t>
      </text>
    </comment>
    <comment authorId="101" xr:uid="{ee0b1e48-0976-4b02-a8b3-781dc6255119}" ref="BA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cuenta juega mucho aram
</t>
      </text>
    </comment>
    <comment authorId="102" xr:uid="{f0fea651-f065-496b-8808-bb994812c84e}" ref="BA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cuenta no tiene partidas jugadas
</t>
      </text>
    </comment>
    <comment authorId="103" xr:uid="{f8fc4ca4-b388-445d-bc3f-4734a5f186de}" ref="BA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pocas partidas recientes. Confirmar cuenta principal
</t>
      </text>
    </comment>
    <comment authorId="104" xr:uid="{f971efa5-53c9-4a63-97f9-501f5120ea18}" ref="Q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cuenta es main adc, confirmar cuenta principal
</t>
      </text>
    </comment>
    <comment authorId="105" xr:uid="{fb3677ec-fb88-48d0-bacf-5d65bc83560c}" ref="Z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cuenta no juega JG. Si tiene partidas recientes de JG
</t>
      </text>
    </comment>
    <comment authorId="106" xr:uid="{fc2cd04f-3682-4d00-a8ef-44c911bc2a47}" ref="BA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Cuenta con pocas partidas recientes
</t>
      </text>
    </comment>
    <comment authorId="107" xr:uid="{fd54ac01-25ee-4e96-8547-9be1460e050e}" ref="AY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Linea principal es ADC
</t>
      </text>
    </comment>
    <comment authorId="108" xr:uid="{fd6f51ec-b6b0-4079-b4fb-c497ae3e671a}" ref="AP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Linea principal es TOP
</t>
      </text>
    </comment>
    <comment authorId="109" xr:uid="{fd93a6c4-94f4-4bca-95ab-c6d216c8cd47}" ref="Z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Debe pasar su cuenta principal
</t>
      </text>
    </comment>
    <comment authorId="110" xr:uid="{fdcffa71-ccb4-4cdc-86dd-e929bcb348b4}" ref="AI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cuenta principal, esta cuenta es main top
</t>
      </text>
    </comment>
    <comment authorId="111" xr:uid="{fe10c1d5-582c-468e-bcba-71cf96525961}" ref="B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que indicar su Rol
</t>
      </text>
    </comment>
    <comment authorId="112" xr:uid="{fe83a68f-1db9-44d7-bb41-e196e8142652}" ref="AI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Cuenta main soporte
</t>
      </text>
    </comment>
    <comment authorId="113" xr:uid="{ff1e3955-1c9e-4fd1-87ee-461a59da8a3e}" ref="Q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tiene partidas en esta cuenta, pedir cuenta principal o motivo por que no juega.
</t>
      </text>
    </comment>
    <comment authorId="114" xr:uid="{ff50631e-71bc-4c20-b7a9-4ef859a79500}" ref="AR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corresponde cuenta Peak elo.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tc={01c7c6d2-749f-4db2-95a3-db7944cf51a2}</author>
    <author>tc={1d3b00fc-b8d9-44b9-92ec-5876dbe52998}</author>
    <author>tc={1d88dbc4-5db5-4807-93b2-f192aceee68b}</author>
    <author>tc={1ec1c201-1991-4886-9721-bae0f75569d0}</author>
    <author>tc={3436fdd9-a704-47bc-965a-a03401d77efb}</author>
    <author>tc={43962ba2-1ff6-4242-bf1d-d316e54af005}</author>
    <author>tc={5366db1c-fb67-4676-879e-d8f4e22ee11c}</author>
    <author>tc={5e4b73a6-da71-42eb-a623-e06bf28d2c50}</author>
    <author>tc={72ca9671-cd03-47a8-8479-1b786b0cace2}</author>
    <author>tc={745108a1-1dd4-4c6e-80b3-dbcdf8d43063}</author>
    <author>tc={79326b16-d3b9-440d-b0e0-5a7595b86768}</author>
    <author>tc={7f14f77f-49ae-4450-b7a9-db4b4817628d}</author>
    <author>tc={98c3475f-4662-4ef4-aa66-f97bd7bfd982}</author>
    <author>tc={9ac1eea9-f319-4856-9a42-23ec0ceb924e}</author>
    <author>tc={b09dc23f-b05f-46a9-b073-32553f0115a3}</author>
    <author>tc={be028224-1d88-4c83-8482-d06947919b57}</author>
    <author>tc={c80d5880-1be8-456d-b992-0e27cb1735cf}</author>
    <author>tc={d4336a77-5126-408b-bc95-59c4e55cbe2b}</author>
    <author>tc={f1da449a-34e0-4400-a7ee-198382982eb6}</author>
    <author>tc={f240b6a8-3847-4462-87bd-56076b14f6dc}</author>
  </authors>
  <commentList>
    <comment authorId="0" xr:uid="{01c7c6d2-749f-4db2-95a3-db7944cf51a2}" ref="M2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Cambiaron de JG, esperando datos
</t>
      </text>
    </comment>
    <comment authorId="1" xr:uid="{1d3b00fc-b8d9-44b9-92ec-5876dbe52998}" ref="C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Retirado del equipo
</t>
      </text>
    </comment>
    <comment authorId="2" xr:uid="{1d88dbc4-5db5-4807-93b2-f192aceee68b}" ref="R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
</t>
      </text>
    </comment>
    <comment authorId="3" xr:uid="{1ec1c201-1991-4886-9721-bae0f75569d0}" ref="C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fue para otro equipo, quien sabe a donde
</t>
      </text>
    </comment>
    <comment authorId="4" xr:uid="{3436fdd9-a704-47bc-965a-a03401d77efb}" ref="S1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cambio de nombre al Mid y corregir su discord
</t>
      </text>
    </comment>
    <comment authorId="5" xr:uid="{43962ba2-1ff6-4242-bf1d-d316e54af005}" ref="C2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Ya no juega en el equipo
</t>
      </text>
    </comment>
    <comment authorId="6" xr:uid="{5366db1c-fb67-4676-879e-d8f4e22ee11c}" ref="I1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datos de los suplentes
</t>
      </text>
    </comment>
    <comment authorId="7" xr:uid="{5e4b73a6-da71-42eb-a623-e06bf28d2c50}" ref="G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datos
</t>
      </text>
    </comment>
    <comment authorId="8" xr:uid="{72ca9671-cd03-47a8-8479-1b786b0cace2}" ref="S2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 cuenta main de mid y datos del suplente
</t>
      </text>
    </comment>
    <comment authorId="9" xr:uid="{745108a1-1dd4-4c6e-80b3-dbcdf8d43063}" ref="S1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 Adc y pedir datos del suplente
</t>
      </text>
    </comment>
    <comment authorId="10" xr:uid="{79326b16-d3b9-440d-b0e0-5a7595b86768}" ref="M2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Abandonó el equipo
</t>
      </text>
    </comment>
    <comment authorId="11" xr:uid="{7f14f77f-49ae-4450-b7a9-db4b4817628d}" ref="R2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Completar datos de mid.
</t>
      </text>
    </comment>
    <comment authorId="12" xr:uid="{98c3475f-4662-4ef4-aa66-f97bd7bfd982}" ref="L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Requiere mencionar 1 Rol
</t>
      </text>
    </comment>
    <comment authorId="13" xr:uid="{9ac1eea9-f319-4856-9a42-23ec0ceb924e}" ref="B2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Estaba como Sub/Top, modificado por whapp
</t>
      </text>
    </comment>
    <comment authorId="14" xr:uid="{b09dc23f-b05f-46a9-b073-32553f0115a3}" ref="B2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Estaba con sub adc, lo modificaron por whapp.
</t>
      </text>
    </comment>
    <comment authorId="15" xr:uid="{be028224-1d88-4c83-8482-d06947919b57}" ref="S2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 cuenta main de Top y Mid. Pedir datos del suplente
</t>
      </text>
    </comment>
    <comment authorId="16" xr:uid="{c80d5880-1be8-456d-b992-0e27cb1735cf}" ref="I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Pedir datos del suplente
</t>
      </text>
    </comment>
    <comment authorId="17" xr:uid="{d4336a77-5126-408b-bc95-59c4e55cbe2b}" ref="I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Tomar en cuenta que el mid de KTR tambien juega en - I y N
</t>
      </text>
    </comment>
    <comment authorId="18" xr:uid="{f1da449a-34e0-4400-a7ee-198382982eb6}" ref="S2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Hacer seguimiento.
</t>
      </text>
    </comment>
    <comment authorId="19" xr:uid="{f240b6a8-3847-4462-87bd-56076b14f6dc}" ref="R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Necesario para participar
</t>
      </text>
    </comment>
  </commentList>
</comments>
</file>

<file path=xl/sharedStrings.xml><?xml version="1.0" encoding="utf-8"?>
<sst xmlns="http://schemas.openxmlformats.org/spreadsheetml/2006/main" count="6093" uniqueCount="2588">
  <si>
    <t>TOP</t>
  </si>
  <si>
    <t>Jungla</t>
  </si>
  <si>
    <t>MID</t>
  </si>
  <si>
    <t>ADC</t>
  </si>
  <si>
    <t>Soporte</t>
  </si>
  <si>
    <t>Marca temporal</t>
  </si>
  <si>
    <t xml:space="preserve">Nombre Oficial del equipo </t>
  </si>
  <si>
    <t xml:space="preserve">Tag o Abreviación del equipo (3-5 caracteres)  </t>
  </si>
  <si>
    <t>¿El equipo cuenta con logo oficial?</t>
  </si>
  <si>
    <t>Subir los COMPROBANTES y enviar a este NUMERO de WHATSAPP 74334239</t>
  </si>
  <si>
    <t xml:space="preserve">En caso de tener un logo.
Enviar en formato PNG/JPG con fondo transparente si tuvieran  </t>
  </si>
  <si>
    <t>Nombre completo del representante o capitán del equipo *</t>
  </si>
  <si>
    <t>Número de celular</t>
  </si>
  <si>
    <t xml:space="preserve">Correo electrónico de contacto principal  </t>
  </si>
  <si>
    <t xml:space="preserve">Discord del Representante  </t>
  </si>
  <si>
    <t xml:space="preserve">CI del representante </t>
  </si>
  <si>
    <t>JUEGA alguna otra Linea aparte de TOP?</t>
  </si>
  <si>
    <t>Nombre del Top Laner</t>
  </si>
  <si>
    <t>Cuenta de LoL</t>
  </si>
  <si>
    <t xml:space="preserve">Perfil de op.gg o tracker.gg (link)  </t>
  </si>
  <si>
    <t>Cuál es el Rango Máximo al que llegó este año?</t>
  </si>
  <si>
    <t>El Top juega activamente en LAS?</t>
  </si>
  <si>
    <t>Número contacto personal Whatsapp</t>
  </si>
  <si>
    <t xml:space="preserve">ID de Discord del jugador  </t>
  </si>
  <si>
    <t xml:space="preserve">  🔹 Aceptación y Compromiso</t>
  </si>
  <si>
    <t>JUEGA alguna otra Linea a parte de JUNGLER?</t>
  </si>
  <si>
    <t>Nombre del JUNGLERO</t>
  </si>
  <si>
    <t>Cuenta de LoL 2</t>
  </si>
  <si>
    <t>Perfil de op.gg o tracker.gg (link)   2</t>
  </si>
  <si>
    <t>PEAK ELO y ELO ACTUAL</t>
  </si>
  <si>
    <t>Es su cuenta principal?</t>
  </si>
  <si>
    <t>Número contacto personal Whatsapp 2</t>
  </si>
  <si>
    <t>ID de Discord del jugador   2</t>
  </si>
  <si>
    <t xml:space="preserve">  🔹 Aceptación y Compromiso 2</t>
  </si>
  <si>
    <t>Flexea alguna otra Linea a parte de MIDLANER?</t>
  </si>
  <si>
    <t>Nombre del Mid Laner</t>
  </si>
  <si>
    <t>Cuenta de LoL 3</t>
  </si>
  <si>
    <t>Perfil de op.gg o tracker.gg (link)   3</t>
  </si>
  <si>
    <t>PEAK ELO y ELO ACTUAL 2</t>
  </si>
  <si>
    <t>Es su cuenta principal? 2</t>
  </si>
  <si>
    <t>Número contacto personal Whatsapp 3</t>
  </si>
  <si>
    <t>ID de Discord del jugador   3</t>
  </si>
  <si>
    <t xml:space="preserve">  🔹 Aceptación y Compromiso 3</t>
  </si>
  <si>
    <t>Flexea alguna otra Linea a parte de AD CARRY?</t>
  </si>
  <si>
    <t>NOMBRE DEL AD CARRY</t>
  </si>
  <si>
    <t>Cuenta de LoL 4</t>
  </si>
  <si>
    <t>Perfil de op.gg o tracker.gg (link)   4</t>
  </si>
  <si>
    <t>PEAK ELO y ELO ACTUAL 3</t>
  </si>
  <si>
    <t>Es su cuenta principal? 3</t>
  </si>
  <si>
    <t>Número contacto personal Whatsapp 4</t>
  </si>
  <si>
    <t>ID de Discord del jugador   4</t>
  </si>
  <si>
    <t xml:space="preserve">  🔹 Aceptación y Compromiso 4</t>
  </si>
  <si>
    <t>Flexea alguna otra Linea a parte de SUPPORT?</t>
  </si>
  <si>
    <t>NOMBRE DEL SUPPORT</t>
  </si>
  <si>
    <t>Cuenta de LoL 5</t>
  </si>
  <si>
    <t>Perfil de op.gg o tracker.gg (link)   5</t>
  </si>
  <si>
    <t>PEAK ELO y ELO ACTUAL 4</t>
  </si>
  <si>
    <t>Es su cuenta principal? 4</t>
  </si>
  <si>
    <t>Número contacto personal Whatsapp 5</t>
  </si>
  <si>
    <t>ID de Discord del jugador   5</t>
  </si>
  <si>
    <t xml:space="preserve">  🔹 Aceptación y Compromiso 5</t>
  </si>
  <si>
    <t xml:space="preserve">NOMBRES APELLIDOS , RIOT IDL , Linea que Juega </t>
  </si>
  <si>
    <t>Perfil de op.gg o tracker.gg (link)   6</t>
  </si>
  <si>
    <t>Dirección de correo electrónico</t>
  </si>
  <si>
    <t>JUEGA alguna otra Linea aparte de JUNGLA?</t>
  </si>
  <si>
    <t>Cuenta de LoL 6</t>
  </si>
  <si>
    <t>Perfil de op.gg o tracker.gg (link)   7</t>
  </si>
  <si>
    <t>La cuenta que acaba de registrar es la cuenta principal del jugador?</t>
  </si>
  <si>
    <t>Cuál es el Rango Máximo al que llegó este año? 2</t>
  </si>
  <si>
    <t>JUEGA alguna otra Linea aparte de MID?</t>
  </si>
  <si>
    <t>Cuenta de LoL 7</t>
  </si>
  <si>
    <t>CI del Top Laner</t>
  </si>
  <si>
    <t>Ciudad donde Reside/Vive el Jugador</t>
  </si>
  <si>
    <t xml:space="preserve">Nombre completo del Segundo Representante del equipo
</t>
  </si>
  <si>
    <t>Discord del Representante   2</t>
  </si>
  <si>
    <t>Número de celular 2</t>
  </si>
  <si>
    <t>CI del representante  2</t>
  </si>
  <si>
    <t>La cuenta que acaba de registrar es la cuenta principal del jugador? 2</t>
  </si>
  <si>
    <t>CI del Junglero</t>
  </si>
  <si>
    <t>Ciudad donde Reside/Vive el Jugador 2</t>
  </si>
  <si>
    <t>JUEGA alguna otra Linea aparte de MID? 2</t>
  </si>
  <si>
    <t>Perfil de op.gg o tracker.gg (link)   8</t>
  </si>
  <si>
    <t>Perfil de op.gg o tracker.gg (link)   9</t>
  </si>
  <si>
    <t>Cuál es el Rango Máximo al que llegó este año? 3</t>
  </si>
  <si>
    <t>La cuenta que acaba de registrar es la cuenta principal del jugador? 3</t>
  </si>
  <si>
    <t>CI del Mid Laner</t>
  </si>
  <si>
    <t>Ciudad donde Reside/Vive el Jugador 3</t>
  </si>
  <si>
    <t>Perfil de op.gg o tracker.gg (link)   10</t>
  </si>
  <si>
    <t>Cuál es el Rango Máximo al que llegó este año? 4</t>
  </si>
  <si>
    <t>La cuenta que acaba de registrar es la cuenta principal del jugador? 4</t>
  </si>
  <si>
    <t>Disponibilidad Durante Semana (Inicio) [Jueves]</t>
  </si>
  <si>
    <t>Disponibilidad Durante Semana (Inicio) [Viernes]</t>
  </si>
  <si>
    <t>Disponibilidad Durante Semana (Inicio) [Lunes]</t>
  </si>
  <si>
    <t>Disponibilidad Durante Semana (Inicio) [Martes]</t>
  </si>
  <si>
    <t>Disponibilidad Durante Semana (Inicio) [Miercoles]</t>
  </si>
  <si>
    <t>Disponibilidad de Fin de Semana (Inicio) [Sábado]</t>
  </si>
  <si>
    <t>Disponibilidad de Fin de Semana (Inicio) [Domingo]</t>
  </si>
  <si>
    <t>Está de acuerdo con las Indicaciones Previas al Registro de Equipo?</t>
  </si>
  <si>
    <t>Disponibilidad Durante Semana 2 (Final) [Lunes]</t>
  </si>
  <si>
    <t>Disponibilidad Durante Semana 2 (Final) [Martes]</t>
  </si>
  <si>
    <t>Disponibilidad Durante Semana 2 (Final) [Miercoles]</t>
  </si>
  <si>
    <t>Disponibilidad Durante Semana 2 (Final) [Jueves]</t>
  </si>
  <si>
    <t>Disponibilidad Durante Semana 2 (Final) [Viernes]</t>
  </si>
  <si>
    <t>Disponibilidad de Fin de Semana (Final) [Sábado]</t>
  </si>
  <si>
    <t>Disponibilidad de Fin de Semana (Final) [Domingo]</t>
  </si>
  <si>
    <t>Cuenta PRINCIPAL de LoL</t>
  </si>
  <si>
    <t>Perfil de op.gg o tracker.gg (link)   11</t>
  </si>
  <si>
    <t>Cuenta PRINCIPAL de LoL 2</t>
  </si>
  <si>
    <t>Perfil de op.gg o tracker.gg (link)   12</t>
  </si>
  <si>
    <t>El JG juega activamente en LAS?</t>
  </si>
  <si>
    <t>Nombre del MID LANER</t>
  </si>
  <si>
    <t>CI del Jugador</t>
  </si>
  <si>
    <t>Ciudad donde Reside/Vive el Jugador 4</t>
  </si>
  <si>
    <t>Número contacto personal Whatsapp 6</t>
  </si>
  <si>
    <t>ID de Discord del jugador   6</t>
  </si>
  <si>
    <t>JUEGA alguna otra Linea aparte de MID? 3</t>
  </si>
  <si>
    <t>Cuál es el Rango Máximo al que llegó este año? 5</t>
  </si>
  <si>
    <t>Cuenta de LoL 8</t>
  </si>
  <si>
    <t>Perfil de op.gg o tracker.gg (link)   13</t>
  </si>
  <si>
    <t>El MID juega activamente en LAS?</t>
  </si>
  <si>
    <t>Nombre del ADC</t>
  </si>
  <si>
    <t>CI del Jugador 2</t>
  </si>
  <si>
    <t>Ciudad donde Reside/Vive el Jugador 5</t>
  </si>
  <si>
    <t>Número contacto personal Whatsapp 7</t>
  </si>
  <si>
    <t>ID de Discord del jugador   7</t>
  </si>
  <si>
    <t>JUEGA alguna otra Linea aparte de ADC?</t>
  </si>
  <si>
    <t>Cuál es el Rango Máximo al que llegó este año? 6</t>
  </si>
  <si>
    <t>Cuenta de LoL 9</t>
  </si>
  <si>
    <t>Perfil de op.gg o tracker.gg (link)   14</t>
  </si>
  <si>
    <t>El ADC juega activamente en LAS?</t>
  </si>
  <si>
    <t>Nombre del SOPORTE</t>
  </si>
  <si>
    <t>CI del Jugador 3</t>
  </si>
  <si>
    <t>Ciudad donde Reside/Vive el Jugador 6</t>
  </si>
  <si>
    <t>Número contacto personal Whatsapp 8</t>
  </si>
  <si>
    <t>ID de Discord del jugador   8</t>
  </si>
  <si>
    <t>JUEGA alguna otra Linea aparte de SOPORTE?</t>
  </si>
  <si>
    <t>Cuál es el Rango Máximo al que llegó este año? 7</t>
  </si>
  <si>
    <t>Cuenta de LoL 10</t>
  </si>
  <si>
    <t>Perfil de op.gg o tracker.gg (link)   15</t>
  </si>
  <si>
    <t>El SOPORTE juega activamente en LAS?</t>
  </si>
  <si>
    <t>Cuenta PRINCIPAL de LoL 3</t>
  </si>
  <si>
    <t>Perfil de op.gg o tracker.gg (link)   16</t>
  </si>
  <si>
    <t>Cuenta PRINCIPAL de LoL 4</t>
  </si>
  <si>
    <t>Perfil de op.gg o tracker.gg (link)   17</t>
  </si>
  <si>
    <t>Cuenta PRINCIPAL de LoL 5</t>
  </si>
  <si>
    <t>Perfil de op.gg o tracker.gg (link)   18</t>
  </si>
  <si>
    <t>Nombre del JUGADOR</t>
  </si>
  <si>
    <t>CI del Jugador 4</t>
  </si>
  <si>
    <t>Ciudad donde Reside/Vive el Jugador 7</t>
  </si>
  <si>
    <t>Número contacto personal Whatsapp 9</t>
  </si>
  <si>
    <t>ID de Discord del jugador   9</t>
  </si>
  <si>
    <t>Cuál es el Rol Principal del Jugador?</t>
  </si>
  <si>
    <t>Cuál es el Rango Máximo al que llegó este año? 8</t>
  </si>
  <si>
    <t>Cuenta de LoL 11</t>
  </si>
  <si>
    <t>Perfil de op.gg o tracker.gg (link)   19</t>
  </si>
  <si>
    <t>El JUGADOR juega activamente en LAS?</t>
  </si>
  <si>
    <t>Cuenta PRINCIPAL de LoL 6</t>
  </si>
  <si>
    <t>Perfil de op.gg o tracker.gg (link)   20</t>
  </si>
  <si>
    <t>Cuantos Suplentes desea Registrar?</t>
  </si>
  <si>
    <t xml:space="preserve">Cuál es el Rol Secundario del Jugador? </t>
  </si>
  <si>
    <t>Nombre del JUGADOR 2</t>
  </si>
  <si>
    <t>CI del Jugador 5</t>
  </si>
  <si>
    <t>Ciudad donde Reside/Vive el Jugador 8</t>
  </si>
  <si>
    <t>Número contacto personal Whatsapp 10</t>
  </si>
  <si>
    <t>ID de Discord del jugador   10</t>
  </si>
  <si>
    <t>Cuál es el Rol Principal del Jugador? 2</t>
  </si>
  <si>
    <t>Cuál es el Rol Secundario del Jugador?  2</t>
  </si>
  <si>
    <t>Cuál es el Rango Máximo al que llegó este año? 9</t>
  </si>
  <si>
    <t>Cuenta de LoL 12</t>
  </si>
  <si>
    <t>Perfil de op.gg o tracker.gg (link)   21</t>
  </si>
  <si>
    <t>El JUGADOR juega activamente en LAS? 2</t>
  </si>
  <si>
    <t>Nombre del JUGADOR 3</t>
  </si>
  <si>
    <t>CI del Jugador 6</t>
  </si>
  <si>
    <t>Ciudad donde Reside/Vive el Jugador 9</t>
  </si>
  <si>
    <t>Número contacto personal Whatsapp 11</t>
  </si>
  <si>
    <t>ID de Discord del jugador   11</t>
  </si>
  <si>
    <t>Cuál es el Rol Principal del Jugador? 3</t>
  </si>
  <si>
    <t>Cuál es el Rol Secundario del Jugador?  3</t>
  </si>
  <si>
    <t>Cuál es el Rango Máximo al que llegó este año? 10</t>
  </si>
  <si>
    <t>Cuenta de LoL 13</t>
  </si>
  <si>
    <t>Perfil de op.gg o tracker.gg (link)   22</t>
  </si>
  <si>
    <t>El JUGADOR juega activamente en LAS? 3</t>
  </si>
  <si>
    <t>Cuenta PRINCIPAL de LoL 7</t>
  </si>
  <si>
    <t>Perfil de op.gg o tracker.gg (link)   23</t>
  </si>
  <si>
    <t>Cuenta PRINCIPAL de LoL 8</t>
  </si>
  <si>
    <t>Perfil de op.gg o tracker.gg (link)   24</t>
  </si>
  <si>
    <t>ACEPTACION Y COMPROMISO</t>
  </si>
  <si>
    <t>Cual es el motivo por el que están participando en el Torneo?</t>
  </si>
  <si>
    <t>Cuál es el Rango Promedio del Equipo?</t>
  </si>
  <si>
    <t>A nivel Competitivo, cual es el nivel que creen tener como equipo?</t>
  </si>
  <si>
    <t>Estarían de acuerdo en participar en un Torneo de Rango Bajo?</t>
  </si>
  <si>
    <t>En el caso de tener un TRB, estarían dispuestos a competir por Perifericos? [Teclado]</t>
  </si>
  <si>
    <t>En el caso de tener un TRB, estarían dispuestos a competir por Perifericos? [Mouse/Ratón]</t>
  </si>
  <si>
    <t>En el caso de tener un TRB, estarían dispuestos a competir por Perifericos? [Audifonos]</t>
  </si>
  <si>
    <t>En el caso de tener un TRB, estarían dispuestos a competir por Perifericos? [Mousepad]</t>
  </si>
  <si>
    <t>El equipo ya fue Invitado a algún Tier en la LBL?</t>
  </si>
  <si>
    <t>Al continuar el registro están de acuerdo que Renuncian a la invitacion de la LBL?</t>
  </si>
  <si>
    <t>El equipo por Registrarse tiene algún Jugador Extranjero?</t>
  </si>
  <si>
    <t>Cual es el Rol que cumple dentro el Equipo?</t>
  </si>
  <si>
    <t>VIVENCIA</t>
  </si>
  <si>
    <t>Columna 190</t>
  </si>
  <si>
    <t>Columna 190 2</t>
  </si>
  <si>
    <t>Tenemos unas preguntas más que nos pueden ayudar a futuro para organizar los Torneos.
Está de acuerdo en continuar con la encuesta antes de terminar la inscripción?</t>
  </si>
  <si>
    <t>Columna 186</t>
  </si>
  <si>
    <t xml:space="preserve">Según la cantidad de equipos registrados. Estarían de acuerdo en participar </t>
  </si>
  <si>
    <t>Columna 85</t>
  </si>
  <si>
    <t>Columna 85 2</t>
  </si>
  <si>
    <t>Cuenta Principal de LoL</t>
  </si>
  <si>
    <t xml:space="preserve">Perfil de op.gg o tracker.gg de la Cuenta Principal (link)  </t>
  </si>
  <si>
    <t>Columna 85 3</t>
  </si>
  <si>
    <t>JUEGA alguna otra Linea aparte de JUNGLA? 2</t>
  </si>
  <si>
    <t>Columna 59</t>
  </si>
  <si>
    <t>Columna 53</t>
  </si>
  <si>
    <t>Osotris Mantravas</t>
  </si>
  <si>
    <t>OMG</t>
  </si>
  <si>
    <t>Sí</t>
  </si>
  <si>
    <t>https://drive.google.com/open?id=1V2xTGz-1fWTjdB7msDBsZqQ5x8I1wvgV</t>
  </si>
  <si>
    <t>Sebastián Cáceres Cuenca</t>
  </si>
  <si>
    <t>sebastian03.cc@gmail.com</t>
  </si>
  <si>
    <t>overtaken_</t>
  </si>
  <si>
    <t>SUPPORT</t>
  </si>
  <si>
    <t>Alejandro Enrique Revollo Rada</t>
  </si>
  <si>
    <t>Renzihto#LAS</t>
  </si>
  <si>
    <t>https://op.gg/es/lol/summoners/las/Renzihto-LAS</t>
  </si>
  <si>
    <t>Esmeralda 4</t>
  </si>
  <si>
    <t>No</t>
  </si>
  <si>
    <t>jandrobot</t>
  </si>
  <si>
    <t>Declaro que toda la información proporcionada es verídica y autorizo su uso para fines organizativos y de difusión por parte de la LBL., Entiendo que los jugadores registrados no podrán cambiarse de equipo ni nickname durante la temporada, salvo excepciones oficiales por organización., Me comprometo a seguir el reglamento oficial de la LBL y aceptar sanciones correspondientes en caso de infracción.</t>
  </si>
  <si>
    <t>MIDLANER, AD CARRY</t>
  </si>
  <si>
    <t>Luis Carlos Alvarez Orozco</t>
  </si>
  <si>
    <t>Clextoni#LAS</t>
  </si>
  <si>
    <t>https://op.gg/es/lol/summoners/las/Clextoni-LAS</t>
  </si>
  <si>
    <t>Oro</t>
  </si>
  <si>
    <t>luchozzz4</t>
  </si>
  <si>
    <t>JUNGLER, AD CARRY, SUPPORT</t>
  </si>
  <si>
    <t>МЯ Kobayashi#DOPA</t>
  </si>
  <si>
    <t>https://op.gg/es/lol/summoners/las/%D0%9C%D0%AF%20Kobayashi-DOPA</t>
  </si>
  <si>
    <t>Master</t>
  </si>
  <si>
    <t>Si</t>
  </si>
  <si>
    <t>TOPLANER, JUNGLER, SUPPORT</t>
  </si>
  <si>
    <t>Yoel Silverio Erson Mamani</t>
  </si>
  <si>
    <t>Zero Twwo#1324</t>
  </si>
  <si>
    <t>https://op.gg/es/lol/summoners/las/Zero%20Twwo-1324</t>
  </si>
  <si>
    <t>Grand Master</t>
  </si>
  <si>
    <t>shampo6405</t>
  </si>
  <si>
    <t>TOPLANER, MIDLANER, AD CARRY</t>
  </si>
  <si>
    <t>Brayner Alan Merlo Castillo</t>
  </si>
  <si>
    <t>Akali InTheFranx#Mai</t>
  </si>
  <si>
    <t>https://op.gg/es/lol/summoners/las/Akali%20InTheFranx-Mai</t>
  </si>
  <si>
    <t>Diamante</t>
  </si>
  <si>
    <t>brayy.____.</t>
  </si>
  <si>
    <t>Alvaro Josue Illanes Quispe</t>
  </si>
  <si>
    <t>https://www.leagueofgraphs.com/summoner/las/Overtaken+%E6%B5%A3-2001y</t>
  </si>
  <si>
    <t xml:space="preserve">SOULK </t>
  </si>
  <si>
    <t>SLK</t>
  </si>
  <si>
    <t>https://drive.google.com/open?id=1S8u9Ch0ydNokRKfJj82__M-48VaOe8Bp</t>
  </si>
  <si>
    <t>https://drive.google.com/open?id=1kVR3juPNpDalxs5NpcmAl7dTrYrOJY-O</t>
  </si>
  <si>
    <t>Capitán de equipo: Israel Amilcar Álvarez Mamani</t>
  </si>
  <si>
    <t>676.shikedy.676@gmail.com</t>
  </si>
  <si>
    <t>https://discord.gg/ZeSKgbu  Nombre de usuario: izrangel</t>
  </si>
  <si>
    <t>JUNGLER, AD CARRY</t>
  </si>
  <si>
    <t xml:space="preserve">Israel Amilcar Álvarez Mamani </t>
  </si>
  <si>
    <t>SLK Izrangel #1666</t>
  </si>
  <si>
    <t>https://op.gg/es/lol/summoners/las/SLK%20Izrangel-1666</t>
  </si>
  <si>
    <t>Peak Elo: Oro 3     Elo Actual: Oro4</t>
  </si>
  <si>
    <t>744754251603116079</t>
  </si>
  <si>
    <t>TOPLANER, MIDLANER, SUPPORT</t>
  </si>
  <si>
    <t xml:space="preserve">Fabricio René Revollo Vargas </t>
  </si>
  <si>
    <t>SLK Darkxz #9215</t>
  </si>
  <si>
    <t>https://op.gg/es/lol/summoners/las/SLK%20Darkxz-9215</t>
  </si>
  <si>
    <t>Peak elo: Platino 3 Elo actual: Oro 1</t>
  </si>
  <si>
    <t>659761588261355541</t>
  </si>
  <si>
    <t>TOPLANER, AD CARRY</t>
  </si>
  <si>
    <t>Alex Adrian Ramos Condori</t>
  </si>
  <si>
    <t>SLK Remmy #GGEZ</t>
  </si>
  <si>
    <t>https://op.gg/es/lol/summoners/las/SLK%20Remmy-GGEZ</t>
  </si>
  <si>
    <t>Peak Elo: Diamante 1 Elo actual: Diamante 3</t>
  </si>
  <si>
    <t>1281828330915758132</t>
  </si>
  <si>
    <t>TOPLANER, JUNGLER</t>
  </si>
  <si>
    <t>Gerónimo Flores Condori</t>
  </si>
  <si>
    <t>SLK Gero #4044</t>
  </si>
  <si>
    <t>https://op.gg/es/lol/summoners/las/SLK%20Gero-4044</t>
  </si>
  <si>
    <t>Peak Elo: Platino 4 Elo Actual: Oro 4</t>
  </si>
  <si>
    <t>651088925485694982</t>
  </si>
  <si>
    <t>MIDLANER</t>
  </si>
  <si>
    <t xml:space="preserve">Ariel Garabito Portocarrero </t>
  </si>
  <si>
    <t>SLK Ca7riel #6752</t>
  </si>
  <si>
    <t>https://op.gg/es/lol/summoners/las/SLK%20Ca7riel-6752</t>
  </si>
  <si>
    <t>Peak Elo: Plata 3 Elo Actual: Plata 4</t>
  </si>
  <si>
    <t>615293297400741901</t>
  </si>
  <si>
    <t>Suplente 1Nombre: Dylan Carlos Ramirez Maygua RIOT ID: SLK Six9ine#2179 Linea: top y jg  Numero de Celular: 78488480
Suplente 2Nombre: Axel Pablo Ortega Ampuero  RIOT ID:SLK 阿克塞爾#FABI  Linea: Adc y medio Numero de celular: 69644894</t>
  </si>
  <si>
    <t xml:space="preserve">Suplente 1: https://op.gg/es/lol/summoners/las/SLK%20Six9ine-2179 Suplente 2:  https://op.gg/es/lol/summoners/las/SLK%20%E9%98%BF%E5%85%8B%E5%A1%9E%E7%88%BE-FABI              </t>
  </si>
  <si>
    <t>123.israngel.123@gmail.com</t>
  </si>
  <si>
    <t>Revelation Gaming</t>
  </si>
  <si>
    <t>RVG</t>
  </si>
  <si>
    <t>https://drive.google.com/open?id=1k5JG-Lscke75JZF3NSdlFPv0CuxH2gbR</t>
  </si>
  <si>
    <t>https://drive.google.com/open?id=10UEbPHDC_6DgejVipMktgoJuQRzOAZr2</t>
  </si>
  <si>
    <t xml:space="preserve">Jhoel David Poma Vargas </t>
  </si>
  <si>
    <t>viegopoma@gmail.com</t>
  </si>
  <si>
    <t>viego8802</t>
  </si>
  <si>
    <t>NO</t>
  </si>
  <si>
    <t>Ademar Guzmán Poma</t>
  </si>
  <si>
    <t>NOXUZ#ekisd</t>
  </si>
  <si>
    <t>https://op.gg/es/lol/summoners/las/NOXUZ-ekisd</t>
  </si>
  <si>
    <t>D4 peak D1</t>
  </si>
  <si>
    <t>ademar1651</t>
  </si>
  <si>
    <t>Jhoel David Poma Vargas</t>
  </si>
  <si>
    <t>Heliaser#LAS</t>
  </si>
  <si>
    <t>https://op.gg/es/lol/summoners/las/Heliaser-LAS</t>
  </si>
  <si>
    <t>D4 peak D3</t>
  </si>
  <si>
    <t>Alejandro Medrano Robles</t>
  </si>
  <si>
    <t>Gatsßy#PRO</t>
  </si>
  <si>
    <t>https://op.gg/es/lol/summoners/las/Gatsßy-PRO</t>
  </si>
  <si>
    <t>D3 peak master</t>
  </si>
  <si>
    <t>blaxster.</t>
  </si>
  <si>
    <t>Erlan Nathaniel Medrano Robles</t>
  </si>
  <si>
    <t>Viper#JFG9</t>
  </si>
  <si>
    <t>https://op.gg/es/lol/summoners/las/Viper-JFG9</t>
  </si>
  <si>
    <t>E4 peak D4</t>
  </si>
  <si>
    <t>nath774_86659</t>
  </si>
  <si>
    <t>AD CARRY</t>
  </si>
  <si>
    <t>Kreming Blanco Castro</t>
  </si>
  <si>
    <t>BADFACEMEMO#LAS1</t>
  </si>
  <si>
    <t>https://op.gg/es/lol/summoners/las/BADFACEMEMO-LAS1</t>
  </si>
  <si>
    <t>d2 PEAK D1</t>
  </si>
  <si>
    <t>Paris#5664</t>
  </si>
  <si>
    <t>Itan joel charcas quisbert  Fncjoel433#las , La Paz discord joel433</t>
  </si>
  <si>
    <t>https://op.gg/es/lol/summoners/las/FNC%20JOEL433-LAS</t>
  </si>
  <si>
    <t>LYONS GAMING</t>
  </si>
  <si>
    <t>LYG</t>
  </si>
  <si>
    <t>https://drive.google.com/open?id=1YY06ICN7rzxplOc0YXfgKjLUZEwWY_MZ</t>
  </si>
  <si>
    <t>https://drive.google.com/open?id=1zZNx2EpYMNre8IOgSZNq66o9dJ4gcAgX</t>
  </si>
  <si>
    <t>Crhistian Xavier Orozco La Fuente</t>
  </si>
  <si>
    <t>olafsontian09@gmail.com</t>
  </si>
  <si>
    <t>lynanakin</t>
  </si>
  <si>
    <t>JUNGLER, MIDLANER, AD CARRY, SUPPORT</t>
  </si>
  <si>
    <t xml:space="preserve">Franz Matthew Baigorri Angulo </t>
  </si>
  <si>
    <t>Kalinka#GINBY</t>
  </si>
  <si>
    <t>https://op.gg/lol/summoners/las/Kalinka-GINBY</t>
  </si>
  <si>
    <t>Esmeralda 2</t>
  </si>
  <si>
    <t>kalinkx</t>
  </si>
  <si>
    <t>TOPLANER, MIDLANER, AD CARRY, SUPPORT, NO</t>
  </si>
  <si>
    <t xml:space="preserve">Harold Andrés Fernández Ramos </t>
  </si>
  <si>
    <t>⁦Metalic⁩#⁦TEOM⁩</t>
  </si>
  <si>
    <t>https://l.facebook.com/l.php?u=https%3A%2F%2Fop.gg%2Flol%2Fsummoners%2Flas%2FMet%25C3%25A0lic-LAS&amp;h=AT0rKIsHcxbiOJQHU7SBTUdbDQWeJMzUD19mIaFhczOAj_GZhog0-d3_whnRr_qAhD72uruNXJOPnbbQXbQRfkdwVVu2UYihit3WLncJM08BicbSkR-LuPMuHIdX6sw&amp;s=1</t>
  </si>
  <si>
    <t>Esmeralda 1</t>
  </si>
  <si>
    <t>Metalic_#8857</t>
  </si>
  <si>
    <t>TOPLANER, JUNGLER, AD CARRY, SUPPORT</t>
  </si>
  <si>
    <t>Bryan Diaz Carrasco</t>
  </si>
  <si>
    <t>Th3Bryan</t>
  </si>
  <si>
    <t>https://op.gg/es/lol/summoners/las/%C4%B1Il%C5%82%20%C3%9Fr%C3%BF%C4%85n%20%C5%82lI%C4%B1-LAS</t>
  </si>
  <si>
    <t>Diamante 4</t>
  </si>
  <si>
    <t>+51 947746333</t>
  </si>
  <si>
    <t>brydc_01</t>
  </si>
  <si>
    <t>TOPLANER, JUNGLER, MIDLANER, SUPPORT</t>
  </si>
  <si>
    <t xml:space="preserve">Cristian manuel acarapi sarzuri </t>
  </si>
  <si>
    <t>Canibal dragon #black</t>
  </si>
  <si>
    <t>https://op.gg/es/lol/summoners/lan/CANIBAL%20DRAGON-BLACK</t>
  </si>
  <si>
    <t>Gosuinsane123</t>
  </si>
  <si>
    <t>TOPLANER, JUNGLER, MIDLANER, AD CARRY</t>
  </si>
  <si>
    <t>Fernando Céspedes Calderón</t>
  </si>
  <si>
    <t>persibal9</t>
  </si>
  <si>
    <t>https://op.gg/es/lol/summoners/las/percibal9-5293</t>
  </si>
  <si>
    <t>Plata 4</t>
  </si>
  <si>
    <t>686349461756051459</t>
  </si>
  <si>
    <t xml:space="preserve">Iver Alan Velasquez Aranda, FEiN, La Paz
Kevin Damian Paniagua Rojas, Sparky09, Cba
Limbert Armando Aranda Calle, NewLife, La paz
</t>
  </si>
  <si>
    <t>https://op.gg/lol/summoners/lan/FEiN-3AM; https://op.gg/es/lol/summoners/las/TheRealSparky09-LAS; https://op.gg/lol/summoners/lan/NewLife-LAN</t>
  </si>
  <si>
    <t>BlackSoul</t>
  </si>
  <si>
    <t>BS</t>
  </si>
  <si>
    <t>https://drive.google.com/open?id=1xXoIhLoeLncGXB7hwy3Sr1iPvh4x_jxf</t>
  </si>
  <si>
    <t>Yeri Revollo</t>
  </si>
  <si>
    <t>yeridas.1.2.3@gmail.com</t>
  </si>
  <si>
    <t>yerizao</t>
  </si>
  <si>
    <t>Wilson Aguilar</t>
  </si>
  <si>
    <t>driip#LAN</t>
  </si>
  <si>
    <t>https://op.gg/es/lol/summoners/lan/driip-LAN</t>
  </si>
  <si>
    <t>PLATA 2</t>
  </si>
  <si>
    <t>wason6664592</t>
  </si>
  <si>
    <t>⁦Yerizao⁩#⁦LAN⁩</t>
  </si>
  <si>
    <t>https://op.gg/es/lol/summoners/lan/Yerizao-LAN</t>
  </si>
  <si>
    <t>TOPLANER</t>
  </si>
  <si>
    <t>Samuel Palacios</t>
  </si>
  <si>
    <t>Sammy Jam#GOD</t>
  </si>
  <si>
    <t>https://op.gg/es/lol/summoners/lan/Sammy%20Jam-GOD</t>
  </si>
  <si>
    <t>Platino</t>
  </si>
  <si>
    <t>sammyjam18</t>
  </si>
  <si>
    <t>Erick Palacios</t>
  </si>
  <si>
    <t>FerickPM#GOD</t>
  </si>
  <si>
    <t>https://op.gg/es/lol/summoners/lan/FerickPM-GOD</t>
  </si>
  <si>
    <t>1180575569205792909</t>
  </si>
  <si>
    <t>Rodrigo Orellana Teran</t>
  </si>
  <si>
    <t>CHORYPAN#LAN</t>
  </si>
  <si>
    <t>https://op.gg/es/lol/summoners/lan/CHORYPAN-LAN</t>
  </si>
  <si>
    <t>Esmeralda</t>
  </si>
  <si>
    <t>rorellanat</t>
  </si>
  <si>
    <t xml:space="preserve">⁦alessandro rafael valda gonzales,Rompe bragas⁩#⁦LAN⁩,top
</t>
  </si>
  <si>
    <t>https://op.gg/es/lol/summoners/lan/Rompe%20bragas-LAN/</t>
  </si>
  <si>
    <t xml:space="preserve">Ataraxia Gaming </t>
  </si>
  <si>
    <t>ATX</t>
  </si>
  <si>
    <t>https://drive.google.com/open?id=1rOMEptWHhLzCe4YUbMLbwFh7dMsbQgQy</t>
  </si>
  <si>
    <t>https://drive.google.com/open?id=1UXUuO7xudb56Q6EZ5V7I1-iPv-NdGXa8</t>
  </si>
  <si>
    <t xml:space="preserve">Aldo Luciano Heredia Arancibia </t>
  </si>
  <si>
    <t>aldoherediaarancibia@gmail.com</t>
  </si>
  <si>
    <t>Kapriely</t>
  </si>
  <si>
    <t>JUNGLER</t>
  </si>
  <si>
    <t>Álvaro Richard Guarachi Ticona</t>
  </si>
  <si>
    <t>Mohomvi #Las</t>
  </si>
  <si>
    <t>https://op.gg/es/lol/summoners/las/mohomvi-LAS</t>
  </si>
  <si>
    <t>Diamante 1 - Esmeralda 3</t>
  </si>
  <si>
    <t>Jasito12345</t>
  </si>
  <si>
    <t>Omar Yamil Meneses</t>
  </si>
  <si>
    <t>T1 The Shy #DWG</t>
  </si>
  <si>
    <t>https://op.gg/es/lol/summoners/las/T1%20The%20Shy-DWG</t>
  </si>
  <si>
    <t>Maestro - Diamante 4</t>
  </si>
  <si>
    <t>7Mikael7</t>
  </si>
  <si>
    <t>Levius Cromwell #K1NG</t>
  </si>
  <si>
    <t>https://op.gg/es/lol/summoners/las/Levius%20Cromwell-K1NG</t>
  </si>
  <si>
    <t>Challenger - Diamond 3</t>
  </si>
  <si>
    <t xml:space="preserve">Juan Pablo Soliz Salvatierra </t>
  </si>
  <si>
    <t>Coiia #pblo</t>
  </si>
  <si>
    <t>https://op.gg/es/lol/summoners/las/Coiia-pblo</t>
  </si>
  <si>
    <t xml:space="preserve">Challenger - Challenger </t>
  </si>
  <si>
    <t>coiia_</t>
  </si>
  <si>
    <t>Juan Carlos Mendoza Balboa</t>
  </si>
  <si>
    <t>Gathhal #Las</t>
  </si>
  <si>
    <t>https://op.gg/es/lol/summoners/las/Gathhal-LAS</t>
  </si>
  <si>
    <t>Maestro - diamante 3</t>
  </si>
  <si>
    <t>Hikcup</t>
  </si>
  <si>
    <t>Alexander Jhoel Berrios Mendoza</t>
  </si>
  <si>
    <t>https://op.gg/es/lol/summoners/las/VP%20ISTr1kErl-LAS</t>
  </si>
  <si>
    <t>Kuntur Team</t>
  </si>
  <si>
    <t>KTR</t>
  </si>
  <si>
    <t>https://drive.google.com/open?id=1Q-ZAoYgOMivXwgSq5xtZ4L2tUoQy0tSq</t>
  </si>
  <si>
    <t>https://drive.google.com/open?id=1yFoM8XUL4kmr-1fDYnfre_EGm4D3zS3g</t>
  </si>
  <si>
    <t>Cecilia Alejandra Hoss Rendon</t>
  </si>
  <si>
    <t>cecihoss03@gmail.com</t>
  </si>
  <si>
    <t>cecih#1531</t>
  </si>
  <si>
    <t>10410320 ch</t>
  </si>
  <si>
    <t>JUNGLER, MIDLANER</t>
  </si>
  <si>
    <t>Joel Cristóbal Ticona Huanca</t>
  </si>
  <si>
    <t>YORI #LAS</t>
  </si>
  <si>
    <t>https://op.gg/lol/summoners/las/YIORI-LAS</t>
  </si>
  <si>
    <t>Peak en su cuenta de LAN: Diamante, Elo actual en esta cuenta: Platino II</t>
  </si>
  <si>
    <t>Grayfullboster01#2956</t>
  </si>
  <si>
    <t>Juan Francisco Villegas Garcia</t>
  </si>
  <si>
    <t>dhamthan #LAS</t>
  </si>
  <si>
    <t>https://op.gg/es/lol/summoners/las/dhamthan-LAS</t>
  </si>
  <si>
    <t>Peak: Esmeranda IV Actual: Platino IV</t>
  </si>
  <si>
    <t>Bpain7</t>
  </si>
  <si>
    <t>TOPLANER, SUPPORT</t>
  </si>
  <si>
    <t>Alexandro D’Addario Castedo</t>
  </si>
  <si>
    <t>Akalex #LAS</t>
  </si>
  <si>
    <t>https://op.gg/es/lol/summoners/las/Akalex-LAS</t>
  </si>
  <si>
    <t>Peak: Esmeralda y Actual: Esmeralda</t>
  </si>
  <si>
    <t>Alexandroxx#6115</t>
  </si>
  <si>
    <t>cecihh #LAS</t>
  </si>
  <si>
    <t>https://op.gg/es/lol/summoners/las/cecihh-LAS</t>
  </si>
  <si>
    <t>Peak: Platino 4  Actual: Oro 2</t>
  </si>
  <si>
    <t>Kevin Andres Revollo Colque</t>
  </si>
  <si>
    <t>Hellgorgon #LAS</t>
  </si>
  <si>
    <t>https://op.gg/es/lol/summoners/las/Hellgorgon-LAS</t>
  </si>
  <si>
    <t>Peak y actual: esmeralda</t>
  </si>
  <si>
    <t>Sett#4957</t>
  </si>
  <si>
    <t>cecihoss4@gmail.com</t>
  </si>
  <si>
    <t>THER7LEGENDSBOLIVIA</t>
  </si>
  <si>
    <t>TR7LB</t>
  </si>
  <si>
    <t>https://drive.google.com/open?id=1Y-v1zKAPd63vApPDoV3yFUz-E-L7DNGC</t>
  </si>
  <si>
    <t xml:space="preserve">Aniceto Ampuero Colorado </t>
  </si>
  <si>
    <t>molinanick307@gmail.com</t>
  </si>
  <si>
    <t>Kirito2302</t>
  </si>
  <si>
    <t xml:space="preserve">Alejandro Suarez Mendoza </t>
  </si>
  <si>
    <t>xxmainjaxxx #LAS</t>
  </si>
  <si>
    <t>https://op.gg/es/lol/summoners/las/xxmainjaxxx-LAS</t>
  </si>
  <si>
    <t>PEAK PLATINO/ ACTUAL ORO 3</t>
  </si>
  <si>
    <t>huesitos#2921</t>
  </si>
  <si>
    <t>TOPLANER, MIDLANER, AD CARRY, SUPPORT</t>
  </si>
  <si>
    <t xml:space="preserve">Dario Morales Lazcano </t>
  </si>
  <si>
    <t>itsDarko #BOSS</t>
  </si>
  <si>
    <t>https://tracker.gg/lol/profile/riot/itzDarko%23BOSS/overview?queue=RANKED_SOLO_5x5&amp;season=2025-08-27T04:00:00%2B00:00</t>
  </si>
  <si>
    <t xml:space="preserve">PEAK PLATINO 1 / ACTUAL PLATINO 3  3 </t>
  </si>
  <si>
    <t>itsDarko</t>
  </si>
  <si>
    <t>Im Kringts #LAS</t>
  </si>
  <si>
    <t>https://op.gg/es/lol/summoners/las/Im%20Kringts-LAS</t>
  </si>
  <si>
    <t>PEAK PLATINO 1/ ACTUAL PLATINO 4</t>
  </si>
  <si>
    <t xml:space="preserve">Lucas Alvarez Molina </t>
  </si>
  <si>
    <t>Almoproo #5075</t>
  </si>
  <si>
    <t>https://op.gg/es/lol/summoners/las/Almoproo-5075</t>
  </si>
  <si>
    <t xml:space="preserve">PEAK PLATA/ ACTUAL PLATA </t>
  </si>
  <si>
    <t>Almo06#1561</t>
  </si>
  <si>
    <t>Marcus Luk Cutre</t>
  </si>
  <si>
    <t>tq mia khalifa</t>
  </si>
  <si>
    <t>https://op.gg/es/lol/summoners/las/TQ%20Mia%20KhalifA1-wiz</t>
  </si>
  <si>
    <t xml:space="preserve">PEAK DIAMANTE 1/ ACTUAL PLATINO 2 </t>
  </si>
  <si>
    <t>JUAN MAMANI VILLCA , T1 RAHI #LAS, 67957669, Potosi</t>
  </si>
  <si>
    <t>https://tracker.gg/lol/profile/riot/PyAM7h5NmRkhe82KZXsy9LY3fEiMlFxfJ89JEhtK9qC8gvLf7g8V-ZHxSaBfCj6GHtOTEsKhwpyjbA</t>
  </si>
  <si>
    <t>jhosephgomezzz0267@gmail.com</t>
  </si>
  <si>
    <t>https://drive.google.com/open?id=1gqMJ9FgHz9YVjkHOqp_BOL2GAee6Fnx-</t>
  </si>
  <si>
    <t>https://drive.google.com/open?id=1gztSOdcdP8B-NWbqncORc5U43-oz978q</t>
  </si>
  <si>
    <t>Ademar Guzman Poma</t>
  </si>
  <si>
    <t>E2 PEAK D4</t>
  </si>
  <si>
    <t>El Chibolo Del 8#Víégó</t>
  </si>
  <si>
    <t>d4 peak E1</t>
  </si>
  <si>
    <t>master , d3</t>
  </si>
  <si>
    <t>e2 PEAK D2</t>
  </si>
  <si>
    <t>badfacememo</t>
  </si>
  <si>
    <t>Pesadilla Tongoy#2015</t>
  </si>
  <si>
    <t>https://op.gg/es/lol/summoners/las/Pesadilla%20Tongoy-2015</t>
  </si>
  <si>
    <t>oro peak platino 4</t>
  </si>
  <si>
    <t>nath744_86659</t>
  </si>
  <si>
    <t>Joel jhony robles choque Scary#LAS TOP la paz FNC JOEL433#LAS  SUP Itan joel charcas quisbert la paz</t>
  </si>
  <si>
    <t>https://op.gg/es/lol/summoners/las/Scary-LAS</t>
  </si>
  <si>
    <t>I &amp; N Gaming</t>
  </si>
  <si>
    <t xml:space="preserve">I y N </t>
  </si>
  <si>
    <t>https://drive.google.com/open?id=1yhY76OHiR0X_OfqGJF4qaWVjXf-0vALC</t>
  </si>
  <si>
    <t>https://drive.google.com/open?id=1Tl1hSSq_cEBHi46kVE1cyoJyBye4QmWq</t>
  </si>
  <si>
    <t>Noel Paredes Mauricio</t>
  </si>
  <si>
    <t>paredesmauricionoel@gmail.com</t>
  </si>
  <si>
    <t>tioboliviano</t>
  </si>
  <si>
    <t>Rodrigo Huacota Gomez</t>
  </si>
  <si>
    <t>Zoeunpanthalon#UwU</t>
  </si>
  <si>
    <t>https://op.gg/lol/summoners/las/Zoeunpanthalon-UwU</t>
  </si>
  <si>
    <t>Esmeralda III, Oro II</t>
  </si>
  <si>
    <t>+591 62761676</t>
  </si>
  <si>
    <t>Wackota#0384</t>
  </si>
  <si>
    <t>Sebastian Crispin Flores</t>
  </si>
  <si>
    <t>sebasx100pre#LAS</t>
  </si>
  <si>
    <t>https://op.gg/lol/summoners/las/sebasx100pre-LAS</t>
  </si>
  <si>
    <t>Diamante III, Platino I</t>
  </si>
  <si>
    <t>+591 73054948</t>
  </si>
  <si>
    <t>soms#9511</t>
  </si>
  <si>
    <t>Alexandro D'Addario Castedo</t>
  </si>
  <si>
    <t>Akalex#Las</t>
  </si>
  <si>
    <t>https://op.gg/lol/summoners/las/Akalex-LAS</t>
  </si>
  <si>
    <t>Platino IV, Platino IV</t>
  </si>
  <si>
    <t>+591 77388109</t>
  </si>
  <si>
    <t>TOPLANER, MIDLANER</t>
  </si>
  <si>
    <t>Alexander Vladimir Téllez Stipe</t>
  </si>
  <si>
    <t>kazuma#72283</t>
  </si>
  <si>
    <t>https://op.gg/lol/summoners/las/kazuma-72283</t>
  </si>
  <si>
    <t>Diamante IV, Esmeralda III</t>
  </si>
  <si>
    <t>+591 72283941</t>
  </si>
  <si>
    <t>kasuma#0355</t>
  </si>
  <si>
    <t xml:space="preserve">Fabio Toledo Huanca </t>
  </si>
  <si>
    <t>Ez3tres #FTH</t>
  </si>
  <si>
    <t>https://op.gg/lol/summoners/las/Ez3tres-FTH</t>
  </si>
  <si>
    <t>Plata II, Plata lll</t>
  </si>
  <si>
    <t>+591 67309120</t>
  </si>
  <si>
    <t>710115653238915102</t>
  </si>
  <si>
    <t xml:space="preserve">Noel Paredes Mauricio, Pachonk#LAS, si es cuenta main, tioboliviano, 73803108 </t>
  </si>
  <si>
    <t>https://op.gg/lol/summoners/las/Pachonk-LAS</t>
  </si>
  <si>
    <t xml:space="preserve">PSI Rapture eSport </t>
  </si>
  <si>
    <t>PRS</t>
  </si>
  <si>
    <t>https://drive.google.com/open?id=1hE9qIzMpyGbQ8sT_t6NzCCOd2XZfBxtn</t>
  </si>
  <si>
    <t>https://drive.google.com/open?id=1UtkCyxHWPtlMCauyCkfN7B68JIAHrFhI</t>
  </si>
  <si>
    <t xml:space="preserve">Alejandro Villalpando Rojas </t>
  </si>
  <si>
    <t>aleu9393@gmail.com</t>
  </si>
  <si>
    <t>alexwuuu1</t>
  </si>
  <si>
    <t>Alexwuuu1#0812</t>
  </si>
  <si>
    <t>https://op.gg/es/lol/summoners/las/Alexwuuu1-0812</t>
  </si>
  <si>
    <t>Esmeralda I</t>
  </si>
  <si>
    <t xml:space="preserve">alexwuuu1 </t>
  </si>
  <si>
    <t xml:space="preserve">Yamil Alejandro Pinto Cervantes </t>
  </si>
  <si>
    <t>Nomad AP#PCA</t>
  </si>
  <si>
    <t>https://op.gg/es/lol/summoners/las/Nomad%20AP-PCA</t>
  </si>
  <si>
    <t>Platino III</t>
  </si>
  <si>
    <t>.leandro_off</t>
  </si>
  <si>
    <t xml:space="preserve">Juan Andrés Ormachea Alegre </t>
  </si>
  <si>
    <t>Toko Loco xd #LAS</t>
  </si>
  <si>
    <t>https://op.gg/es/lol/summoners/las/Toko%20Loco%20xd-LAS</t>
  </si>
  <si>
    <t>Esmeralda IV</t>
  </si>
  <si>
    <t>Toko91345</t>
  </si>
  <si>
    <t>David Gutiérrez Onostre</t>
  </si>
  <si>
    <t>el davo#4486</t>
  </si>
  <si>
    <t>https://op.gg/es/lol/summoners/las/el%20davo-4486</t>
  </si>
  <si>
    <t>Plata II</t>
  </si>
  <si>
    <t>dagoxneizexd</t>
  </si>
  <si>
    <t xml:space="preserve">Cristopher Iori Lazcano Gutierrez </t>
  </si>
  <si>
    <t>Sadgersito#LAS</t>
  </si>
  <si>
    <t xml:space="preserve">Esmeralda </t>
  </si>
  <si>
    <t>Criss#1900</t>
  </si>
  <si>
    <t xml:space="preserve">No tenemos </t>
  </si>
  <si>
    <t>alejandro13yamil@gmail.com</t>
  </si>
  <si>
    <t>Bolivia Lethal Tempo</t>
  </si>
  <si>
    <t>BLT</t>
  </si>
  <si>
    <t>https://drive.google.com/open?id=1gjEXy2AchOc8XrctGm3KwsSWcRH_rayZ</t>
  </si>
  <si>
    <t>https://drive.google.com/open?id=1LQq5KzeXopuNwCGSQ3rCaIU1xonPupQ8</t>
  </si>
  <si>
    <t xml:space="preserve">Pablo Gabriel Rojas Thompson </t>
  </si>
  <si>
    <t>pablogabrielrojasthompson@gmail.com</t>
  </si>
  <si>
    <t>es3ado_31</t>
  </si>
  <si>
    <t>Jhonatan Noel Vargas Mamani</t>
  </si>
  <si>
    <t>DogPilfrut#LAS</t>
  </si>
  <si>
    <t>https://op.gg/es/lol/summoners/las/DogPilfrut-LAS</t>
  </si>
  <si>
    <t xml:space="preserve">Diamante y Esmeralda </t>
  </si>
  <si>
    <t>317132285566779402</t>
  </si>
  <si>
    <t>Alan Fronti</t>
  </si>
  <si>
    <t>Afroa#LAS</t>
  </si>
  <si>
    <t>https://op.gg/es/lol/summoners/las/Afroa-LAS</t>
  </si>
  <si>
    <t>Máster y Diamante</t>
  </si>
  <si>
    <t>Jhon Mamani Quispe</t>
  </si>
  <si>
    <t>Asagui#LAS</t>
  </si>
  <si>
    <t>https://op.gg/lol/summoners/las/Asagui-LAS</t>
  </si>
  <si>
    <t>Esmeralda y Platino</t>
  </si>
  <si>
    <t>asagui</t>
  </si>
  <si>
    <t>TWD Clementine#LASS</t>
  </si>
  <si>
    <t>https://op.gg/es/lol/summoners/las/TWD%20Clementine-LASS</t>
  </si>
  <si>
    <t>Platino y Platino</t>
  </si>
  <si>
    <t>Luis Cardoso</t>
  </si>
  <si>
    <t>EvoElNarc0#LAS</t>
  </si>
  <si>
    <t>https://op.gg/es/lol/summoners/las/EvoElNarc0-LAS</t>
  </si>
  <si>
    <t>eromaa</t>
  </si>
  <si>
    <t>Hugo Mitre G2 NainPolonia#LAS TOP ADC JUNGLA
Luis Enrique Melgarejo Alzheimerdinger#G2LAS SUP</t>
  </si>
  <si>
    <t>https://op.gg/es/lol/summoners/las/G2%20NainPolonia-LAS https://op.gg/es/lol/summoners/las/Alzheimerdinger-G2LAS</t>
  </si>
  <si>
    <t>Riot Pls Game</t>
  </si>
  <si>
    <t>RPG</t>
  </si>
  <si>
    <t>https://drive.google.com/open?id=1O8p4u3UaXWyG4tsCHSyQPnmaXYTTF7-N</t>
  </si>
  <si>
    <t>https://drive.google.com/open?id=1MpdAShTdCfFm02F9KhhrcAEtkaH9QveA</t>
  </si>
  <si>
    <t xml:space="preserve">Sergio Alejandro loza Tejerina </t>
  </si>
  <si>
    <t>had3s500300@gmail.com</t>
  </si>
  <si>
    <t>Platanito#6737</t>
  </si>
  <si>
    <t>Iver Antonio Honorio Monrooy</t>
  </si>
  <si>
    <t xml:space="preserve">ohh my GoOoOoOoD#LAS </t>
  </si>
  <si>
    <t>https://op.gg/es/lol/summoners/las/ohh%20my%20GoOoOoOoD-LAS</t>
  </si>
  <si>
    <t>aquilescastro_47837</t>
  </si>
  <si>
    <t>Edson Gary Loza Aguilar</t>
  </si>
  <si>
    <t>Watsonw#las</t>
  </si>
  <si>
    <t>https://op.gg/lol/summoners/las/watsonw-LAS</t>
  </si>
  <si>
    <t>esmeralda</t>
  </si>
  <si>
    <t>edson#6274</t>
  </si>
  <si>
    <t>sergio alejandro loza tejerina</t>
  </si>
  <si>
    <t>Yamamex #LAS</t>
  </si>
  <si>
    <t>https://op.gg/lol/summoners/las/Yamamex-LAS</t>
  </si>
  <si>
    <t>oro</t>
  </si>
  <si>
    <t>Cristian manuel acarapi sarzuri</t>
  </si>
  <si>
    <t>Dashadona #las</t>
  </si>
  <si>
    <t>https://op.gg/lol/summoners/las/Dashadona-LAS</t>
  </si>
  <si>
    <t>diamante</t>
  </si>
  <si>
    <t>SOYYO</t>
  </si>
  <si>
    <t>JUNGLER, NO</t>
  </si>
  <si>
    <t xml:space="preserve">Kevin Michael Choque Mendoza </t>
  </si>
  <si>
    <t>Rai0z#las</t>
  </si>
  <si>
    <t>https://op.gg/lol/summoners/las/Rai0Z-LAS</t>
  </si>
  <si>
    <t>no tiene</t>
  </si>
  <si>
    <t>Galy Hernan Herrera Huaranca, emma watsoNN#LAS, top, jungla, 69897745, La Paz</t>
  </si>
  <si>
    <t>https://op.gg/lol/summoners/las/emma%20watsoNN-LAS</t>
  </si>
  <si>
    <t>Viktus Void</t>
  </si>
  <si>
    <t>VKTV</t>
  </si>
  <si>
    <t>https://drive.google.com/open?id=1Yy-8l8eLaEUTn_YKudKENt7IE0RfEUwh</t>
  </si>
  <si>
    <t>https://drive.google.com/open?id=15KJHb8leBDMBjNtM6FluHlcGzOgrTtRr</t>
  </si>
  <si>
    <t xml:space="preserve">Adrian Gabriel Choque Baptista </t>
  </si>
  <si>
    <t>adrianmiclobid@gmail.com</t>
  </si>
  <si>
    <t>MiCløBid</t>
  </si>
  <si>
    <t>Adrian Gabriel Choque Baptista</t>
  </si>
  <si>
    <t>MiCløBid #LAS</t>
  </si>
  <si>
    <t>https://op.gg/es/lol/summoners/las/MiCl%C3%B8Bid-LAS</t>
  </si>
  <si>
    <t>Master, Diamante 2</t>
  </si>
  <si>
    <t>721070384132390993</t>
  </si>
  <si>
    <t>Kevin Layo Quispe Arenas</t>
  </si>
  <si>
    <t>ELBOLIVIANO#LAS</t>
  </si>
  <si>
    <t>https://op.gg/es/lol/summoners/las/El%20Boliviano-LAS</t>
  </si>
  <si>
    <t>Retador, Platino 3</t>
  </si>
  <si>
    <t>501912325218107435</t>
  </si>
  <si>
    <t>Gabor Joaquin Gonzales Gamboa</t>
  </si>
  <si>
    <t>Astronyx#VKT</t>
  </si>
  <si>
    <t>https://op.gg/es/lol/summoners/las/Astronyx-VKT</t>
  </si>
  <si>
    <t>Retador, Master</t>
  </si>
  <si>
    <t>302853698487451658</t>
  </si>
  <si>
    <t>Moisés Jacob yavira Condori</t>
  </si>
  <si>
    <t>Little Vash #vash</t>
  </si>
  <si>
    <t>https://op.gg/es/lol/summoners/las/Little%20Vash-Vash</t>
  </si>
  <si>
    <t>315126413848084481</t>
  </si>
  <si>
    <t>Jose carlo Sandoval</t>
  </si>
  <si>
    <t>TIBUR0NBOLIVIANO #pansa</t>
  </si>
  <si>
    <t>https://op.gg/es/lol/summoners/las/TIBUR0NBOLIVIANO-pansa</t>
  </si>
  <si>
    <t>Grand Master, Grand Master</t>
  </si>
  <si>
    <t>415998639865856002</t>
  </si>
  <si>
    <t>Suplente 1:  Alejandro Gabriel Choque Baptista, Alejoi705#LAS, 721072823845781545 (ID DISCORD), La Paz, Suport. Suplente 2: Coco Orozco, Stikoc#VKT, 153617111728652288 (ID DISCORD), La Paz, Adc</t>
  </si>
  <si>
    <t>https://www.leagueofgraphs.com/es/summoner/las/Alejoi705-LAS#championsData-all-queues, https://www.leagueofgraphs.com/es/summoner/las/Stikoc-VKT#championsData-all-queues</t>
  </si>
  <si>
    <t>Stark Industries</t>
  </si>
  <si>
    <t xml:space="preserve">Ninguna </t>
  </si>
  <si>
    <t>https://drive.google.com/open?id=1KoQos2SJu8Szly2KUwo8_iLVsicKhVHd</t>
  </si>
  <si>
    <t xml:space="preserve">Juan David macela ramos </t>
  </si>
  <si>
    <t>maceladavid8@gmail.com</t>
  </si>
  <si>
    <t>maceladavi</t>
  </si>
  <si>
    <t xml:space="preserve">Jhosmar Abner Macela Ramos </t>
  </si>
  <si>
    <t>Herculio# LAN</t>
  </si>
  <si>
    <t>Garengallito@gmail.com</t>
  </si>
  <si>
    <t>Peak elo plata  actual hierro</t>
  </si>
  <si>
    <t>1419337041996415009</t>
  </si>
  <si>
    <t>Freddy Huanca Quispe</t>
  </si>
  <si>
    <t>FeerDynan# LAN</t>
  </si>
  <si>
    <t>yuyu24883@ Gmail.com</t>
  </si>
  <si>
    <t>Peak elo oro,Elo actual oro</t>
  </si>
  <si>
    <t>1419330114990112940</t>
  </si>
  <si>
    <t>MiuThh# LAN</t>
  </si>
  <si>
    <t xml:space="preserve">Peak elo oro ,Elo actual plata </t>
  </si>
  <si>
    <t>1419161716742291488</t>
  </si>
  <si>
    <t xml:space="preserve">Juan Esteban Huanca Quispe </t>
  </si>
  <si>
    <t>Cleen Rock One#LAN</t>
  </si>
  <si>
    <t>Vladiv266@gmail.com</t>
  </si>
  <si>
    <t xml:space="preserve">Peak elo esmeralda, Elo actual platino </t>
  </si>
  <si>
    <t>1419327622760104028</t>
  </si>
  <si>
    <t>Vladimir Huanca Quispe</t>
  </si>
  <si>
    <t>Ôzil#Gbc</t>
  </si>
  <si>
    <t>vladimhq@gmail.com</t>
  </si>
  <si>
    <t xml:space="preserve">Peak elo esmeralda,Elo actual esmeralda </t>
  </si>
  <si>
    <t>1419319339974131723</t>
  </si>
  <si>
    <t xml:space="preserve">No tengo </t>
  </si>
  <si>
    <t>War Dogs Gaming</t>
  </si>
  <si>
    <t>WDG</t>
  </si>
  <si>
    <t>https://drive.google.com/open?id=1Nhpwl1sXMUKEQyVe0nCSzWvmAFSILjmV</t>
  </si>
  <si>
    <t>https://drive.google.com/open?id=1KBd20jKPcdwRkRtgQ7bs7h9hDJphlhnV</t>
  </si>
  <si>
    <t xml:space="preserve">Luis Gabriel Claure Bayón </t>
  </si>
  <si>
    <t>luis.gabrielcb45@gmail.com</t>
  </si>
  <si>
    <t>luigiclaure</t>
  </si>
  <si>
    <t xml:space="preserve">Joel Andrés Cuellar Castillo </t>
  </si>
  <si>
    <t>Andy #Pichi</t>
  </si>
  <si>
    <t>https://op.gg/es/lol/summoners/las/Andy-Pichi</t>
  </si>
  <si>
    <t>Oro 4/Plata 1</t>
  </si>
  <si>
    <t>andyuwuc</t>
  </si>
  <si>
    <t>Luigi #Pichi</t>
  </si>
  <si>
    <t>https://op.gg/es/lol/summoners/las/Luigi-Pichi</t>
  </si>
  <si>
    <t>Platino 3/Oro 3</t>
  </si>
  <si>
    <t>JUNGLER, SUPPORT</t>
  </si>
  <si>
    <t xml:space="preserve">Michael Jhonatan Ledezma Torrejón </t>
  </si>
  <si>
    <t>Deadrake9811 #LAS</t>
  </si>
  <si>
    <t>https://op.gg/lol/summoners/las/Deadrake9811-LAS</t>
  </si>
  <si>
    <t>Unranked</t>
  </si>
  <si>
    <t>deadrake_03</t>
  </si>
  <si>
    <t>Fernando Teófilo Ledezma Torrejon</t>
  </si>
  <si>
    <t>Ghost62 #LAS</t>
  </si>
  <si>
    <t>https://op.gg/lol/summoners/las/Ghost62-LAS</t>
  </si>
  <si>
    <t>navighost</t>
  </si>
  <si>
    <t>Henry Leonel Foronda Cerrogrande</t>
  </si>
  <si>
    <t>Krayvhus #LAS</t>
  </si>
  <si>
    <t>https://op.gg/lol/summoners/las/Krayvhus-LAS</t>
  </si>
  <si>
    <t>Esmeralda 2/Oro 3</t>
  </si>
  <si>
    <t>Krayvhus_2001_37968</t>
  </si>
  <si>
    <t>Eiverth Abel León Balderrama, XXDeathlionXX #LAS, Supp/Mid</t>
  </si>
  <si>
    <t>https://op.gg/lol/summoners/las/XXDeathLionXX-LAS</t>
  </si>
  <si>
    <t>Prelude of Dissonance</t>
  </si>
  <si>
    <t>PD</t>
  </si>
  <si>
    <t>https://drive.google.com/open?id=12_-XVBbfVBebSD1KKZV3_FB_fRIJwoqs</t>
  </si>
  <si>
    <t>Hans Laime</t>
  </si>
  <si>
    <t>hanslaime@gmail.com</t>
  </si>
  <si>
    <t>hans.laime</t>
  </si>
  <si>
    <t>Giovanni Zenteno Caprirolo</t>
  </si>
  <si>
    <t>Inmortalicus#LAS</t>
  </si>
  <si>
    <t>https://op.gg/lol/summoners/las/Inmortalicus-LAS</t>
  </si>
  <si>
    <t>Esmeralda 2 Peak, Platino 1 Actual</t>
  </si>
  <si>
    <t>thanattoss.</t>
  </si>
  <si>
    <t>Kevin Gabriel Ureña Cadiz</t>
  </si>
  <si>
    <t>Gezz G#LAS</t>
  </si>
  <si>
    <t>https://op.gg/lol/summoners/las/Gezz%20G-LAS</t>
  </si>
  <si>
    <t>Diamante 4 Peak, Oro 3 Actual</t>
  </si>
  <si>
    <t>gaburune</t>
  </si>
  <si>
    <t>Emerson Bazoalto Terrazas</t>
  </si>
  <si>
    <t>elmontador123#LAS</t>
  </si>
  <si>
    <t>https://op.gg/lol/summoners/las/elmontador123-LAS</t>
  </si>
  <si>
    <t>Master Peak, Diamante 3 Actual</t>
  </si>
  <si>
    <t>eurmeron0530</t>
  </si>
  <si>
    <t>Hanigo Hans Laime Lucero</t>
  </si>
  <si>
    <t>未来の音#1999</t>
  </si>
  <si>
    <t>https://op.gg/es/lol/summoners/las/%E6%9C%AA%E6%9D%A5%E3%81%AE%E9%9F%B3-1999</t>
  </si>
  <si>
    <t>Diamante 2 Peak, Platino 2 Actual</t>
  </si>
  <si>
    <t>Antony Morales Zenteno</t>
  </si>
  <si>
    <t>The Shoot3r#LAS</t>
  </si>
  <si>
    <t>https://op.gg/lol/summoners/las/The%20Shoot3r-LAS</t>
  </si>
  <si>
    <t>Esmeralda 4 Peak, Oro 3 Actual</t>
  </si>
  <si>
    <t>theshooter243</t>
  </si>
  <si>
    <t>Adan Alberto Llanos Zela, kurivo#LAS, Support</t>
  </si>
  <si>
    <t>https://op.gg/lol/summoners/las/kurivo-LAS</t>
  </si>
  <si>
    <t>Facilito Team</t>
  </si>
  <si>
    <t>GGEZ</t>
  </si>
  <si>
    <t>https://drive.google.com/open?id=1HH55ngPTrodDGCUlnABwEVkix_ETOxiy</t>
  </si>
  <si>
    <t>Carlos Alberto Canaviri Avendaño</t>
  </si>
  <si>
    <t>carlos.cana40@gmail.com</t>
  </si>
  <si>
    <t>carlos090</t>
  </si>
  <si>
    <t>MIDLANER, AD CARRY, SUPPORT</t>
  </si>
  <si>
    <t>GGEZ KNA1245#9359</t>
  </si>
  <si>
    <t>https://op.gg/es/lol/summoners/las/GGEZ%20KNA1245-9359</t>
  </si>
  <si>
    <t>Esmerala IV , Esmeralda IV</t>
  </si>
  <si>
    <t>carlos090.</t>
  </si>
  <si>
    <t>KEVIN ARNOLD VILLARROEL LOPEZ</t>
  </si>
  <si>
    <t>EST Pain#PA1N</t>
  </si>
  <si>
    <t>https://op.gg/es/lol/summoners/las/EST%20Pain-PA1N</t>
  </si>
  <si>
    <t>MASTER, ESMERALDA</t>
  </si>
  <si>
    <t>kevinarnoldvillarroel</t>
  </si>
  <si>
    <t>JOSE MANUEL PIZARRO PEREZ</t>
  </si>
  <si>
    <t>mercenaryo#LAS</t>
  </si>
  <si>
    <t>https://op.gg/es/lol/summoners/search?q=mercenaryo%23LAS&amp;region=las</t>
  </si>
  <si>
    <t>PLATINO, PLATINO</t>
  </si>
  <si>
    <t>MrLeast</t>
  </si>
  <si>
    <t>Cristobal Cardenaz Torres</t>
  </si>
  <si>
    <t>KiNgCriTTeR1258#PERU</t>
  </si>
  <si>
    <t>https://op.gg/es/lol/summoners/las/KiNgCriTTeR1258-PERU</t>
  </si>
  <si>
    <t>ORO Y ORO</t>
  </si>
  <si>
    <t>TheCriTTeR1258</t>
  </si>
  <si>
    <t>TOPLANER, JUNGLER, AD CARRY</t>
  </si>
  <si>
    <t>Kioshy alessander salvatierra quiroga</t>
  </si>
  <si>
    <t>kioshy99#LAS</t>
  </si>
  <si>
    <t>https://op.gg/es/lol/summoners/las/kioshy99-LAS</t>
  </si>
  <si>
    <t>kioshy9009</t>
  </si>
  <si>
    <t xml:space="preserve">Edwin Benajim Villarroel Gonzalez,ZeroFortuna#XXX, MID , Santa Cruz
Jersson Giovanny Zampieri Sanchez, Montielsm#LAS, Soporte, Santa Cruz
Cesar Alberti Maldonado,Cextribe#LAS, MID,Santa Cruz
</t>
  </si>
  <si>
    <t>https://op.gg/es/lol/summoners/las/ZeroFortuna-XXX, https://op.gg/es/lol/summoners/las/Montielsm-LAS,https://op.gg/es/lol/summoners/las/Cextribe-LAS</t>
  </si>
  <si>
    <t>academy LOL</t>
  </si>
  <si>
    <t>ADL</t>
  </si>
  <si>
    <t>https://drive.google.com/open?id=1gB681_KIum6KagawaV_E-Peys6rTlibA</t>
  </si>
  <si>
    <t>https://drive.google.com/open?id=1KLlWpi9RFiV7waPbjOYOWrAC0mxgARa9</t>
  </si>
  <si>
    <t>DUGLAS MAMANI VILLCA</t>
  </si>
  <si>
    <t>20031OCTUBRE@GMAIL.COM</t>
  </si>
  <si>
    <t>duglas williams mamani villca</t>
  </si>
  <si>
    <t>Jhoel Angel Hidalgo Cuenca</t>
  </si>
  <si>
    <t>SKP Hidalguito #Las</t>
  </si>
  <si>
    <t>https://op.gg/es/lol/summoners/las/SKP%20Hidalguito-LAS</t>
  </si>
  <si>
    <t>esmeralda 1</t>
  </si>
  <si>
    <t>Bang#0093</t>
  </si>
  <si>
    <t>miguel fernando fuertes rojas</t>
  </si>
  <si>
    <t>SKP Ckymito #LAS</t>
  </si>
  <si>
    <t>https://op.gg/lol/summoners/las/SKP%20Ckymito-LAS</t>
  </si>
  <si>
    <t>platino 4</t>
  </si>
  <si>
    <t>Ckymito#5769</t>
  </si>
  <si>
    <t xml:space="preserve">Jhonatan erwin hidalgo cuenca  </t>
  </si>
  <si>
    <t>SKP HidalguitoJJ#1010</t>
  </si>
  <si>
    <t>https://op.gg/es/lol/summoners/las/SKP%20HidalguitoJJ-1010</t>
  </si>
  <si>
    <t>platino 2</t>
  </si>
  <si>
    <t>HidalguitoJJ#7121</t>
  </si>
  <si>
    <t>MIDLANER, SUPPORT</t>
  </si>
  <si>
    <t>Duglas Williams Mamani Villca</t>
  </si>
  <si>
    <t>duglaspro # 6969</t>
  </si>
  <si>
    <t>https://op.gg/lol/summoners/las/duglaspro-6969</t>
  </si>
  <si>
    <t>diamante 3</t>
  </si>
  <si>
    <t>duglas#0491</t>
  </si>
  <si>
    <t>Jorge Javier Zamudio</t>
  </si>
  <si>
    <t>Skp Javier#Las</t>
  </si>
  <si>
    <t>https://op.gg/es/lol/summoners/las/SKP%20Javier-LAS</t>
  </si>
  <si>
    <t>platino 3</t>
  </si>
  <si>
    <t>cocos05694</t>
  </si>
  <si>
    <t xml:space="preserve">Percy Rolando Limachi Mamani, SKP DeaD PooL#las, Comodin, </t>
  </si>
  <si>
    <t>https://op.gg/es/lol/summoners/las/SKP%20DeaD%20PooL-LAS</t>
  </si>
  <si>
    <t>20031octubre@gmail.com</t>
  </si>
  <si>
    <t>NegihscoreSport</t>
  </si>
  <si>
    <t>NSP</t>
  </si>
  <si>
    <t>https://drive.google.com/open?id=1_z-VWj8PE0Z3nWG0aPO4MopbAEjZrE-6</t>
  </si>
  <si>
    <t>https://drive.google.com/open?id=16vAihf_2me1JQGCOC-GM-1gFZtZ-TYUu</t>
  </si>
  <si>
    <t>JHON ARON ROJAS OBLITAS</t>
  </si>
  <si>
    <t>jhonaronrojas14@gmail.com</t>
  </si>
  <si>
    <t>jhonfarodiu</t>
  </si>
  <si>
    <t>13056849 LP</t>
  </si>
  <si>
    <t>William Alan Ruiz Oblitas</t>
  </si>
  <si>
    <t>Nosoywillkrossxi#sisoy</t>
  </si>
  <si>
    <t>https://op.gg/es/lol/summoners/lan/willkrossxi-LAN</t>
  </si>
  <si>
    <t>DIAMANTE 4- PLATO 3</t>
  </si>
  <si>
    <t>willkrossxi</t>
  </si>
  <si>
    <t>Marco Alanoca Quispe</t>
  </si>
  <si>
    <t>MARCONEX#777</t>
  </si>
  <si>
    <t>https://op.gg/es/lol/summoners/lan/MARCONEX-666</t>
  </si>
  <si>
    <t>DIAMATE 4- PLATINO 4</t>
  </si>
  <si>
    <t>7marconex</t>
  </si>
  <si>
    <t>Saul henrry rojas oblitas</t>
  </si>
  <si>
    <t>SAULHARS#17N</t>
  </si>
  <si>
    <t>https://op.gg/es/lol/summoners/lan/SAULHARS-LAN</t>
  </si>
  <si>
    <t>ORO 3- ORO 3</t>
  </si>
  <si>
    <t>Jhon aron rojas oblitas</t>
  </si>
  <si>
    <t>SKS jhonfarodiu#LAS</t>
  </si>
  <si>
    <t>https://op.gg/es/lol/summoners/lan/jhonfarodiu-LAN</t>
  </si>
  <si>
    <t>DIAMANTE 4- ESMERALDA 4</t>
  </si>
  <si>
    <t>Jhosep Mamani choque</t>
  </si>
  <si>
    <t>jhoshiw1#8998</t>
  </si>
  <si>
    <t>https://op.gg/es/lol/summoners/lan/jos1w-LAN</t>
  </si>
  <si>
    <t>ORO 1- ORO 2</t>
  </si>
  <si>
    <t>jos1w</t>
  </si>
  <si>
    <t>Felipe Ignacio Álvarez Cuellar</t>
  </si>
  <si>
    <t>https://op.gg/es/lol/summoners/lan/THESHY%20BOOMFL-13131</t>
  </si>
  <si>
    <t>Shadow Reign</t>
  </si>
  <si>
    <t>SR</t>
  </si>
  <si>
    <t>https://drive.google.com/open?id=1pd7k-0Msze5MykbekTqpz5-yKmLierdy</t>
  </si>
  <si>
    <t>https://drive.google.com/open?id=18XO37xw2xjwSjHslRTN7MUPx_sQ4oEgF</t>
  </si>
  <si>
    <t>Eduardo Chacon Tapia</t>
  </si>
  <si>
    <t xml:space="preserve">Eduardo_ed159753@outlook.com </t>
  </si>
  <si>
    <t>loviark#2811</t>
  </si>
  <si>
    <t>Estif Marguay Mamani</t>
  </si>
  <si>
    <t>MVLAJ#LAS</t>
  </si>
  <si>
    <t>https://op.gg/es/lol/summoners/las/MVLAJ-LAS</t>
  </si>
  <si>
    <t>Hierro</t>
  </si>
  <si>
    <t>Yiaj#8606</t>
  </si>
  <si>
    <t>Eduardo chacon tapia</t>
  </si>
  <si>
    <t>Loviark#LAS</t>
  </si>
  <si>
    <t>https://op.gg/es/lol/summoners/las/Loviark-LAS</t>
  </si>
  <si>
    <t>Plata 3</t>
  </si>
  <si>
    <t>Angel Luis Botello Arana</t>
  </si>
  <si>
    <t>Luanardazo#LAS</t>
  </si>
  <si>
    <t>https://op.gg/lol/summoners/las/Luanardazo-LAS</t>
  </si>
  <si>
    <t>Alvaro Condori Cahuaya</t>
  </si>
  <si>
    <t>ElCuecas#EDG</t>
  </si>
  <si>
    <t>https://op.gg/es/lol/summoners/las/ElCuecas-EDG</t>
  </si>
  <si>
    <t>Oro 3</t>
  </si>
  <si>
    <t>5222201876998127617</t>
  </si>
  <si>
    <t>Matias Barrientos Olivera</t>
  </si>
  <si>
    <t>MdMMT#Matu</t>
  </si>
  <si>
    <t>https://op.gg/es/lol/summoners/las/MdMMT-Matu</t>
  </si>
  <si>
    <t>Matias_Matu#8200</t>
  </si>
  <si>
    <t>eduardo_ed159753@outlook.com</t>
  </si>
  <si>
    <t>Marines del Altiplano</t>
  </si>
  <si>
    <t>MDA</t>
  </si>
  <si>
    <t>https://drive.google.com/open?id=1QU-HvNCYO_NaokrpDOQ859dgP7rCRfE5</t>
  </si>
  <si>
    <t>https://drive.google.com/open?id=1DbPQ_VzLb8Lk53GZX3u85kQ42qOZNpoj</t>
  </si>
  <si>
    <t>Capitán del equipo</t>
  </si>
  <si>
    <t>yaselprox@gmail.com</t>
  </si>
  <si>
    <t>yasel_29</t>
  </si>
  <si>
    <t>Yasel Dennis Salazar Vargas</t>
  </si>
  <si>
    <t>luchito#day</t>
  </si>
  <si>
    <t>https://op.gg/lol/summoners/LAN/MDA%20POTTE%E5%B0%BA-ZZZ</t>
  </si>
  <si>
    <t>PEAK ELO DIAMANTE 3 ELO ACTUAL ESMERALDA 3</t>
  </si>
  <si>
    <t>Alan Fernando Mamani Saca</t>
  </si>
  <si>
    <t>Dekro TFT#LAS</t>
  </si>
  <si>
    <t>https://op.gg/es/lol/summoners/las/Dekro%20TFT-LAS</t>
  </si>
  <si>
    <t>PEAK ELO DIAMANTE 4 ELO ACTUAL DIAMANTE 4</t>
  </si>
  <si>
    <t>Dekro tu pa #7391</t>
  </si>
  <si>
    <t>Juan Diego Andrade Campos</t>
  </si>
  <si>
    <t>G2 CarritosKami#LAS</t>
  </si>
  <si>
    <t>https://op.gg/lol/summoners/lan/Diabolique-LAN</t>
  </si>
  <si>
    <t>PEAK ELO CHALLENGER Y ELO ACTUAL DIAMANTE 1</t>
  </si>
  <si>
    <t>zorroviejo#7904</t>
  </si>
  <si>
    <t>Dante Sergio León Castro</t>
  </si>
  <si>
    <t xml:space="preserve">Mc rAiDEr x#LAS </t>
  </si>
  <si>
    <t>https://op.gg/lol/summoners/lan/Dante%20kero-666</t>
  </si>
  <si>
    <t>PEAK ELO MAESTRO ELO ACTUAL ESMERALDA 3</t>
  </si>
  <si>
    <t>Dante kero#1200</t>
  </si>
  <si>
    <t>Luis Alfredo Santalla Chipana</t>
  </si>
  <si>
    <t>T1 Zeus#ONE</t>
  </si>
  <si>
    <t>https://op.gg/lol/summoners/lan/Tl%20Gumayushi%20-LAN</t>
  </si>
  <si>
    <t>PEAK ELO MAESTRO Y ELO ACTUAL ESMERALDA 3</t>
  </si>
  <si>
    <t>lister1611</t>
  </si>
  <si>
    <t>Alexander Ala Cruz, Holeeshet #9099, MID LAINE, Chuquisaca
Jose carlos Alberto Muller Lopez, Miler xD#LAS, ADC, Santa Cruz
Alex Rodríguez, gosthreaven#LAN, TOP, La Paz</t>
  </si>
  <si>
    <t>https://op.gg/es/tft/summoners/lan/Holeeshet-9099, https://op.gg/es/lol/summoners/las/MILER%20xD-LAS, https://op.gg/lol/summoners/lan/Gosthreaven-LAN</t>
  </si>
  <si>
    <t>ThePoroTeam</t>
  </si>
  <si>
    <t>TPT</t>
  </si>
  <si>
    <t>https://drive.google.com/open?id=1u1ybn4fxz-BQfO4I14-xQmefp3o5YcjT</t>
  </si>
  <si>
    <t>https://drive.google.com/open?id=1w7vLhGLbD5-9RmTCsGsum3heb6yYjxEt</t>
  </si>
  <si>
    <t>Adrian Mateo Gonzalez Quiroga</t>
  </si>
  <si>
    <t>matilasalle0@gmail.com</t>
  </si>
  <si>
    <t>eMGi#9995</t>
  </si>
  <si>
    <t>Aaron Alberto huanca huanca</t>
  </si>
  <si>
    <t>S3US3R3NRE#LAS</t>
  </si>
  <si>
    <t>https://op.gg/lol/summoners/las/S3US3R3NRE-LAS</t>
  </si>
  <si>
    <t>oro IV</t>
  </si>
  <si>
    <t>obscure12#1163 / 659376712412299265</t>
  </si>
  <si>
    <t>AD CARRY, SUPPORT</t>
  </si>
  <si>
    <t>Wilfredo Camacho Zapata</t>
  </si>
  <si>
    <t>WillyZz10#LAS</t>
  </si>
  <si>
    <t>https://op.gg/lol/summoners/las/WillyZz10-LAS</t>
  </si>
  <si>
    <t>Peak Elo Esmeralda III  Elo actual Platino III</t>
  </si>
  <si>
    <t>ACwillizzz#4306 / 517378164280918018</t>
  </si>
  <si>
    <t>euler#PAN</t>
  </si>
  <si>
    <t>https://op.gg/lol/summoners/las/euler-PAN</t>
  </si>
  <si>
    <t>Peak en LAN y actual Oro IV, Peak en LAS y actual hierro II</t>
  </si>
  <si>
    <t>eMGi#9995 / 539494141315383296</t>
  </si>
  <si>
    <t>Samuel Albornos</t>
  </si>
  <si>
    <t>ChapsX#LAS</t>
  </si>
  <si>
    <t>https://op.gg/lol/summoners/las/ChapsX-LAS</t>
  </si>
  <si>
    <t>oro 4</t>
  </si>
  <si>
    <t>chaps#2740 / 385945081280069634</t>
  </si>
  <si>
    <t xml:space="preserve">Josué Mario Gutierrez Espejo </t>
  </si>
  <si>
    <t>NoseEkisde#LAS</t>
  </si>
  <si>
    <t>https://op.gg/es/lol/summoners/las/NoseEkisde-LAS</t>
  </si>
  <si>
    <t>Peak Oro III, actualmente unranked</t>
  </si>
  <si>
    <t>AwA#0491 / 323137323988549632</t>
  </si>
  <si>
    <t>- Josué Apaza, PROYECTO DWG KIA#LAS, MID
- el misosaurio#LAS ,TOP</t>
  </si>
  <si>
    <t>https://op.gg/es/lol/summoners/las/PR0YECT0%20DWG%20KIA-LAS   /    https://op.gg/es/lol/summoners/las/el%20misosaurio%20-LAS</t>
  </si>
  <si>
    <t>Lunatic</t>
  </si>
  <si>
    <t>LNC</t>
  </si>
  <si>
    <t>https://drive.google.com/open?id=1oCEL8XNYPCs1CPsOngk4OPX5A3AHlTav</t>
  </si>
  <si>
    <t>https://drive.google.com/open?id=1NF6s2lyMpOVZlb8Z0b-0Xxakf4EvXXFP</t>
  </si>
  <si>
    <t>Alejandro Molina Flores</t>
  </si>
  <si>
    <t>aatroxpro1@gmail.com</t>
  </si>
  <si>
    <t>ALeN#0742</t>
  </si>
  <si>
    <t>Anthony Copa Chauca</t>
  </si>
  <si>
    <t>Nypa#Nypa</t>
  </si>
  <si>
    <t>https://op.gg/es/lol/summoners/las/Nypa-Nypa</t>
  </si>
  <si>
    <t>diamante y esmeralda actual</t>
  </si>
  <si>
    <t>nypaa</t>
  </si>
  <si>
    <t>Jarol Huascar condori copari</t>
  </si>
  <si>
    <t>mi huk#LAS</t>
  </si>
  <si>
    <t>https://op.gg/es/lol/summoners/las/mi%20huk-LAS</t>
  </si>
  <si>
    <t>esmeralda y platino actual</t>
  </si>
  <si>
    <t>Elmeme#7982</t>
  </si>
  <si>
    <t>Gonzalo Quispe Ayala</t>
  </si>
  <si>
    <t>WardEnBase#VOYD</t>
  </si>
  <si>
    <t>https://op.gg/es/lol/summoners/las/WardEnBase-VOYD</t>
  </si>
  <si>
    <t>oro y oro actual</t>
  </si>
  <si>
    <t>A H A Z U#5002</t>
  </si>
  <si>
    <t>⁦AŁęŃ⁩#⁦LAS⁩</t>
  </si>
  <si>
    <t>https://op.gg/es/lol/summoners/las/A%C5%81%C4%99%C5%83-LAS</t>
  </si>
  <si>
    <t>David Mateo Chambi Fernandez</t>
  </si>
  <si>
    <t>Dr Neo Cortex#LAS</t>
  </si>
  <si>
    <t>https://op.gg/es/lol/summoners/las/Dr%20Neo%20Cortex-LAS</t>
  </si>
  <si>
    <t>Ifrit#8363</t>
  </si>
  <si>
    <t>Gabriela Ponce,⁦ Raven Queen#Mishi, 60579057, La Paz
Gabriel Bautizta Prado, Revolt#LAN, La Paz</t>
  </si>
  <si>
    <t>https://op.gg/es/lol/summoners/lan/Raven%20Queen-Mishi, https://op.gg/es/lol/summoners/lan/Revolt-LAN</t>
  </si>
  <si>
    <t xml:space="preserve">🐲Shie Hassaikai 🐉 </t>
  </si>
  <si>
    <t>$HK</t>
  </si>
  <si>
    <t>https://drive.google.com/open?id=1GTJgY2QYZS2Zkx_MLbTfFWFpe8lnUaQV</t>
  </si>
  <si>
    <t>https://drive.google.com/open?id=166F6SOz9PLbgZXhtZDUFjPlx40iMwBzN</t>
  </si>
  <si>
    <t xml:space="preserve">Sebastian Sanchez Sosa </t>
  </si>
  <si>
    <t xml:space="preserve">Sebastiansanchezsosa2@gmail.com </t>
  </si>
  <si>
    <t xml:space="preserve">!EL INSANO (el insano) </t>
  </si>
  <si>
    <t>MOMAZOS INSANO #tilin</t>
  </si>
  <si>
    <t>https://op.gg/lol/summoners/las/Momazos%20INSANO-tilin</t>
  </si>
  <si>
    <t>Oro 1 y Oro 4</t>
  </si>
  <si>
    <t>!EL INSANO</t>
  </si>
  <si>
    <t xml:space="preserve">Junior Quispe </t>
  </si>
  <si>
    <t>Its Junior YS #LAS</t>
  </si>
  <si>
    <t>https://op.gg/es/lol/summoners/las/ItsJunior%20YS%20-LAS</t>
  </si>
  <si>
    <t>Plata 1 - Plata 3</t>
  </si>
  <si>
    <t xml:space="preserve">ItsJunior YS (juanitopistolas5422) </t>
  </si>
  <si>
    <t>Jhonatan Ibañes Quispe</t>
  </si>
  <si>
    <t>Mcrols #LAS</t>
  </si>
  <si>
    <t>https://op.gg/lol/summoners/las/Mcrols-LAS</t>
  </si>
  <si>
    <t>Diamante 4 - platino 1</t>
  </si>
  <si>
    <t>sujeto697116</t>
  </si>
  <si>
    <t>Benjamin Flores</t>
  </si>
  <si>
    <t>アンダーソン #WLF</t>
  </si>
  <si>
    <t>https://op.gg/es/lol/summoners/las/%E3%82%A2%E3%83%B3%E3%83%80%E3%83%BC%E3%82%BD%E3%83%B3-WLF</t>
  </si>
  <si>
    <t>Plata 4 - Plata 4</t>
  </si>
  <si>
    <t xml:space="preserve"> Hatsune ikaos/ hatsuneikaos_50051</t>
  </si>
  <si>
    <t xml:space="preserve">Santiago Ponte </t>
  </si>
  <si>
    <t>DONDOMINGOq #LAS</t>
  </si>
  <si>
    <t>https://op.gg/es/lol/summoners/las/DONDOMINGOq-LAS</t>
  </si>
  <si>
    <t xml:space="preserve">Bronce 1 - Bronce 3 </t>
  </si>
  <si>
    <t>mr.pepinito2.0 ( DREGON542#7272) nombre para mostrar: larrycaverga</t>
  </si>
  <si>
    <t>sebastiansanchezsosa2@gmail.com</t>
  </si>
  <si>
    <t>Imaginary Team</t>
  </si>
  <si>
    <t>IMG</t>
  </si>
  <si>
    <t>https://drive.google.com/open?id=1d8K0V5h-9dswwt38OxfNnpnDZwOdeIrA</t>
  </si>
  <si>
    <t xml:space="preserve">Jeheziel torres Avila </t>
  </si>
  <si>
    <t>jechelo1219@hotmail.com</t>
  </si>
  <si>
    <t>jeche__</t>
  </si>
  <si>
    <t xml:space="preserve">Jeheziel torres avila </t>
  </si>
  <si>
    <t>jeche#flscnj</t>
  </si>
  <si>
    <t>https://op.gg/es/lol/summoners/lan/Jeche-flscn</t>
  </si>
  <si>
    <t>Challenger-master</t>
  </si>
  <si>
    <t>Cama⁦rgo Condori Yashir Jayro</t>
  </si>
  <si>
    <t>Hashpapu #LAS</t>
  </si>
  <si>
    <t>https://op.gg/es/lol/summoners/lan/Bubb%C3%A1%20Kush-LAN</t>
  </si>
  <si>
    <t>Challenger-esmeralda</t>
  </si>
  <si>
    <t>bubbakush#8082</t>
  </si>
  <si>
    <t>Rolando moreno torres</t>
  </si>
  <si>
    <t>Jechelo#711</t>
  </si>
  <si>
    <t>https://op.gg/es/lol/summoners/lan/chocozx-LAN</t>
  </si>
  <si>
    <t>Diamond-esmerald</t>
  </si>
  <si>
    <t>Lobsang Torres Cano</t>
  </si>
  <si>
    <t>afGhostBlade#LAS</t>
  </si>
  <si>
    <t>https://op.gg/es/lol/summoners/las/afGhostBlade-LAS</t>
  </si>
  <si>
    <t>ailson cabezas</t>
  </si>
  <si>
    <t>ayrtonk12#2512</t>
  </si>
  <si>
    <t>https://op.gg/es/lol/summoners/lan/ayrtonk12-2512</t>
  </si>
  <si>
    <t>diamond-esmerald</t>
  </si>
  <si>
    <t>LOSESODOLPHY</t>
  </si>
  <si>
    <t>LED</t>
  </si>
  <si>
    <t>https://drive.google.com/open?id=1K1vMrBGlspEzmh-GThbudpBTfKoR_J0w</t>
  </si>
  <si>
    <t>https://drive.google.com/open?id=1a1WPyxpqaaqzyxEURf66pvFDTFfZnCFf</t>
  </si>
  <si>
    <t xml:space="preserve">Adolfo Ugalde Rojas </t>
  </si>
  <si>
    <t>adolfougalde10@gmail.com</t>
  </si>
  <si>
    <t xml:space="preserve">Dolphy306 #0784 </t>
  </si>
  <si>
    <t xml:space="preserve">Leonardo Fabio cespedes Espinoza </t>
  </si>
  <si>
    <t>Angelcaido434 #2004</t>
  </si>
  <si>
    <t>https://op.gg/es/lol/summoners/las/angelcaido434-2004</t>
  </si>
  <si>
    <t>Esmeralda y platino</t>
  </si>
  <si>
    <t>+591 68545323</t>
  </si>
  <si>
    <t>Angel_caido434</t>
  </si>
  <si>
    <t>Dolphy302#LAS</t>
  </si>
  <si>
    <t>https://op.gg/es/lol/summoners/las/Dolphy302-LAS</t>
  </si>
  <si>
    <t xml:space="preserve">Esmeralda y platino </t>
  </si>
  <si>
    <t>dolphy203</t>
  </si>
  <si>
    <t>Orlando Alvarado Nina</t>
  </si>
  <si>
    <t>Salchipapaneitor#LAS</t>
  </si>
  <si>
    <t>https://op.gg/es/lol/summoners/las/Salchipapaneitor-LAS</t>
  </si>
  <si>
    <t xml:space="preserve">Platino y esmeralda </t>
  </si>
  <si>
    <t>+591 78623418</t>
  </si>
  <si>
    <t xml:space="preserve">orland0_alv </t>
  </si>
  <si>
    <t xml:space="preserve"> Dieter Fritz Kollros Olguin  </t>
  </si>
  <si>
    <t xml:space="preserve">PonchytaProMax#LAS </t>
  </si>
  <si>
    <t xml:space="preserve">https://op.gg/lol/summoners/las/PonchytaProMax-LAS </t>
  </si>
  <si>
    <t>Oro y platino</t>
  </si>
  <si>
    <t>+591 77428020</t>
  </si>
  <si>
    <t>ponchy_6679</t>
  </si>
  <si>
    <t>Gabriel Marcelo Espinoza Angulo</t>
  </si>
  <si>
    <t>GabyEsA #LAS</t>
  </si>
  <si>
    <t>https://op.gg/es/lol/summoners/las/GabyEsA-LAS</t>
  </si>
  <si>
    <t>Plata  y platino</t>
  </si>
  <si>
    <t>+591 75468145</t>
  </si>
  <si>
    <t>gaby845</t>
  </si>
  <si>
    <t>SHADOW GARDEN</t>
  </si>
  <si>
    <t>SDV</t>
  </si>
  <si>
    <t>https://drive.google.com/open?id=152CusgdFLoWtd-sqq3eZX2is-YFb9gDA</t>
  </si>
  <si>
    <t>https://drive.google.com/open?id=1hQSkxgrUoPSGiKjZ0Zl97XIchFy8OwXF</t>
  </si>
  <si>
    <t>Cristhian Laca Pozo</t>
  </si>
  <si>
    <t>crth64@gmail.com</t>
  </si>
  <si>
    <t>710190667531288646</t>
  </si>
  <si>
    <t xml:space="preserve">Cristian Kantuta </t>
  </si>
  <si>
    <t>TAYRUZZ#5585</t>
  </si>
  <si>
    <t>https://op.gg/es/lol/summoners/las/TAYRUZZ-5585</t>
  </si>
  <si>
    <t xml:space="preserve">Bronce - Bronce </t>
  </si>
  <si>
    <t>1277638563848130561</t>
  </si>
  <si>
    <t>Anthony Fabian Miranda Sarabia</t>
  </si>
  <si>
    <t>anthony23#1506</t>
  </si>
  <si>
    <t>https://op.gg/es/lol/summoners/las/anthony23-1506</t>
  </si>
  <si>
    <t xml:space="preserve">Hierro 1 - Hierro 2 </t>
  </si>
  <si>
    <t>759364716815974414</t>
  </si>
  <si>
    <t>BRENTHZ#4033</t>
  </si>
  <si>
    <t>https://op.gg/es/lol/summoners/las/BRENTHZ-4033</t>
  </si>
  <si>
    <t>Bronce 1 - Hierro 3</t>
  </si>
  <si>
    <t>Ivan Franco Mamani Cori</t>
  </si>
  <si>
    <t>MiniDK#LAS</t>
  </si>
  <si>
    <t>https://op.gg/es/lol/summoners/las/MiniDK-LAS</t>
  </si>
  <si>
    <t>Bronce - Bronce 3</t>
  </si>
  <si>
    <t>855512986466779136</t>
  </si>
  <si>
    <t xml:space="preserve">Damian Yamil Kantuta Amaru </t>
  </si>
  <si>
    <t>UCAM DK#6010</t>
  </si>
  <si>
    <t>https://op.gg/es/lol/summoners/las/UCAM%20DK-6010</t>
  </si>
  <si>
    <t>platino - Oro</t>
  </si>
  <si>
    <t>673545272105631774</t>
  </si>
  <si>
    <t>Lourdes Janeth flores Fernández,hitomi#77205,whatsapp 77518894, SOPORTE</t>
  </si>
  <si>
    <t>https://op.gg/es/lol/summoners/las/hitomi-77205</t>
  </si>
  <si>
    <t>raymondifmc@gmail.com</t>
  </si>
  <si>
    <t xml:space="preserve">Yagger Masters </t>
  </si>
  <si>
    <t>YMA</t>
  </si>
  <si>
    <t>https://drive.google.com/open?id=1YISQsaj1H8Eqz9e4DCk5gUeTAQeuyS3w</t>
  </si>
  <si>
    <t xml:space="preserve">Shamil Jair Gonzales Rojas </t>
  </si>
  <si>
    <t>shamiljair2018@gmail.com</t>
  </si>
  <si>
    <t>SHAMIL&lt;3#5199</t>
  </si>
  <si>
    <t xml:space="preserve">Tarek Antezana Soliz </t>
  </si>
  <si>
    <t>A 15 los gancitos#xxx</t>
  </si>
  <si>
    <t>https://op.gg/lol/summoners/las/A15%20los%20Gancitos-xxx</t>
  </si>
  <si>
    <t xml:space="preserve">Platino y Platino </t>
  </si>
  <si>
    <t>dilan051152</t>
  </si>
  <si>
    <t>Ginekkologo#vph</t>
  </si>
  <si>
    <t>https://op.gg/lol/summoners/las/GinEkkologo-VPH</t>
  </si>
  <si>
    <t xml:space="preserve">Bruno Coro Torrico </t>
  </si>
  <si>
    <t>ΘΕΟΣ ΟΛΩΝ#AAJB</t>
  </si>
  <si>
    <t>https://op.gg/lol/summoners/las/%CE%98%CE%95%CE%9F%CE%A3%20%CE%9F%CE%9B%CE%A9%CE%9D-AAJB</t>
  </si>
  <si>
    <t xml:space="preserve">Oro y oro xd </t>
  </si>
  <si>
    <t>bruno.j.t.c</t>
  </si>
  <si>
    <t>TOPLANER, JUNGLER, MIDLANER</t>
  </si>
  <si>
    <t xml:space="preserve">Joshua Zambrana </t>
  </si>
  <si>
    <t>Black Sabbath #la2</t>
  </si>
  <si>
    <t>https://op.gg/lol/summoners/las/Black%20Sabbath-la2</t>
  </si>
  <si>
    <t xml:space="preserve">Oro </t>
  </si>
  <si>
    <t>selfles.</t>
  </si>
  <si>
    <t>Masiel</t>
  </si>
  <si>
    <t>MisaRynn#666</t>
  </si>
  <si>
    <t>https://op.gg/lol/summoners/las/MisaRynn-666</t>
  </si>
  <si>
    <t xml:space="preserve">Esmeralda y oro </t>
  </si>
  <si>
    <t>misa__6633</t>
  </si>
  <si>
    <t>Jhamil fares ayala,forést v2,70388587,cochabamba</t>
  </si>
  <si>
    <t xml:space="preserve">Neon Titans Gaming </t>
  </si>
  <si>
    <t>NTG</t>
  </si>
  <si>
    <t>https://drive.google.com/open?id=13Vc9lrA9XjdpzfM30-yWYe7qLnCy2LvW</t>
  </si>
  <si>
    <t>https://drive.google.com/open?id=1yIPbplSRa4NeNLlwXUsq_w_sKalSCTIZ</t>
  </si>
  <si>
    <t xml:space="preserve">LetMiGoo/si es nombre real Yami Benjamín Mamani Velázquez </t>
  </si>
  <si>
    <t>vicoger4@gmail.com</t>
  </si>
  <si>
    <t>https://discord.gg/mW4uWsGA</t>
  </si>
  <si>
    <t xml:space="preserve">Yamil Benjamin Mamani Velázquez </t>
  </si>
  <si>
    <t>Let Mi Goo#LAS</t>
  </si>
  <si>
    <t>https://op.gg/es/lol/summoners/las/Let%20Mi%20Goo-LAS</t>
  </si>
  <si>
    <t>Oro 4/ Oro 4</t>
  </si>
  <si>
    <t>https://discord.gg/VvvJzWE4</t>
  </si>
  <si>
    <t>Aliaga Calle Jocsan</t>
  </si>
  <si>
    <t>AbreLASpiernass#LAS</t>
  </si>
  <si>
    <t>https://op.gg/es/lol/summoners/las/AbreLASpiernass-LAS</t>
  </si>
  <si>
    <t xml:space="preserve">Platino/esmeralda </t>
  </si>
  <si>
    <t>+591 69689211</t>
  </si>
  <si>
    <t xml:space="preserve">Victor Mendoza Quino </t>
  </si>
  <si>
    <t>Zahevos#LAS</t>
  </si>
  <si>
    <t>https://op.gg/es/lol/summoners/las/zahevos-LAS</t>
  </si>
  <si>
    <t>Bronce 3 bronce 3</t>
  </si>
  <si>
    <t>+591 72596296</t>
  </si>
  <si>
    <t>Gustavo Ivan Apaza Calle</t>
  </si>
  <si>
    <t>TRkiller153#LAS</t>
  </si>
  <si>
    <t>https://op.gg/es/lol/summoners/las/TRkiller153-LAS</t>
  </si>
  <si>
    <t>Eydan Yuren Rojas Montoya</t>
  </si>
  <si>
    <t>el2achchiru#12345</t>
  </si>
  <si>
    <t>https://op.gg/es/lol/summoners/las/el2achchiru-12345</t>
  </si>
  <si>
    <t>Hierro1/Hierro 1</t>
  </si>
  <si>
    <t>+591 67156535</t>
  </si>
  <si>
    <t>Sin suplentes</t>
  </si>
  <si>
    <t xml:space="preserve">Sin suplentes </t>
  </si>
  <si>
    <t>STAR</t>
  </si>
  <si>
    <t>https://drive.google.com/open?id=1xh-osTftQuXgWvc0u3ryCpFfHE2HCZPX</t>
  </si>
  <si>
    <t>https://drive.google.com/open?id=19nb30cIB9EjCpS6DO6k2dTSyBMBA3w_B</t>
  </si>
  <si>
    <t xml:space="preserve">Sebastián Eduardo Huallpara Guerra </t>
  </si>
  <si>
    <t>huallparasebas132516@gmail.com</t>
  </si>
  <si>
    <t>sebastianputz</t>
  </si>
  <si>
    <t>JUAN ALFONSO RUSSO TRIVEÑO</t>
  </si>
  <si>
    <t>STAR Alice #ST4R</t>
  </si>
  <si>
    <t>https://op.gg/lol/summoners/las/STAR%20Alice-ST4R</t>
  </si>
  <si>
    <t>ORO 2</t>
  </si>
  <si>
    <t>alfonso5390</t>
  </si>
  <si>
    <t>SEBASTIAN EDUARDO HUALLPARA GUERRA</t>
  </si>
  <si>
    <t>Smurf Anakin #LAS</t>
  </si>
  <si>
    <t>https://op.gg/lol/summoners/las/Smurf%20Anakin-LAS</t>
  </si>
  <si>
    <t>ORO</t>
  </si>
  <si>
    <t>IAN COAQUIRA URIARTE</t>
  </si>
  <si>
    <t>STAR Nathalie #ST4R</t>
  </si>
  <si>
    <t>https://op.gg/lol/summoners/las/STAR%20Nathalie-ST4R</t>
  </si>
  <si>
    <t xml:space="preserve">ESMERALDA 1 </t>
  </si>
  <si>
    <t>odioelqueso</t>
  </si>
  <si>
    <t>Luis Camilo Clavel Clavijo</t>
  </si>
  <si>
    <t>STAR RAQUEL #6969</t>
  </si>
  <si>
    <t>https://op.gg/lol/summoners/las/STAR%20RAQUEL-6969</t>
  </si>
  <si>
    <t xml:space="preserve">PLATINO 1 </t>
  </si>
  <si>
    <t>mclovin_clavis</t>
  </si>
  <si>
    <t>Victor Mauricio Coca Vargas</t>
  </si>
  <si>
    <t>STARIsabella #ST4R</t>
  </si>
  <si>
    <t>https://op.gg/lol/summoners/las/STARIsabella-STAR</t>
  </si>
  <si>
    <t>lmpmauri</t>
  </si>
  <si>
    <t>Stiven Russo Apaza Sandoval, ACM1PTXDUWU#LAS, SOPORTE Y MID</t>
  </si>
  <si>
    <t>https://op.gg/es/lol/summoners/las/ACM1PTXDUWU-LAS</t>
  </si>
  <si>
    <t>Los Anti loPez</t>
  </si>
  <si>
    <t>LAP</t>
  </si>
  <si>
    <t>https://drive.google.com/open?id=1dXXV-iAle4V7ZuFYPdOcmhqfvuDrcP95</t>
  </si>
  <si>
    <t>https://drive.google.com/open?id=1y9uas7gsh36nsmHK6HwdMqK3ZCR3_ogX</t>
  </si>
  <si>
    <t>Yasir Waldo Caballero Basagoitia</t>
  </si>
  <si>
    <t>yasirwaldocaba@gmail.com</t>
  </si>
  <si>
    <t>aphyrox</t>
  </si>
  <si>
    <t>Andres Anthony Chavez Coronado</t>
  </si>
  <si>
    <t>Jager57 #LAS</t>
  </si>
  <si>
    <t>https://op.gg/es/lol/summoners/las/J%C3%A4ger57-LAS</t>
  </si>
  <si>
    <t>Plata 2</t>
  </si>
  <si>
    <t>jager4928</t>
  </si>
  <si>
    <t>Alejandro Eduardo Lopez Saavedra</t>
  </si>
  <si>
    <t>darkdragon3009#3009</t>
  </si>
  <si>
    <t>https://op.gg/es/lol/summoners/las/darkdragon3009-3009</t>
  </si>
  <si>
    <t>Oro 2</t>
  </si>
  <si>
    <t>darkdragon3009</t>
  </si>
  <si>
    <t>PyPyroxBoy#TERZA</t>
  </si>
  <si>
    <t>https://op.gg/es/lol/summoners/las/PyPyroxBoy-TERZA</t>
  </si>
  <si>
    <t xml:space="preserve">Gabriel Fernando Virgo Choque </t>
  </si>
  <si>
    <t>Lechuguintutula #GORDO</t>
  </si>
  <si>
    <t>https://op.gg/lol/summoners/las/Lechuguintutula-GORDO</t>
  </si>
  <si>
    <t>lechuguintutula</t>
  </si>
  <si>
    <t>Victor Cervantes</t>
  </si>
  <si>
    <t>MSA#7466</t>
  </si>
  <si>
    <t>https://op.gg/lol/summoners/las/MSA-7466</t>
  </si>
  <si>
    <t>Bronce 4</t>
  </si>
  <si>
    <t>mashita0580</t>
  </si>
  <si>
    <t>Paul Alejandro Villca 
⁦Sanspolexe⁩#⁦3332
MID SUPPORT⁩
Jheris Gonzales
LAP SuS original#LAS
MID TOP SUP
Adrian Huaranca
LAP BacArdi06#LAS
MID JUNGLA SUPP TOP</t>
  </si>
  <si>
    <t>https://op.gg/es/lol/summoners/las/Sanspolexe-3332  https://op.gg/es/lol/summoners/las/Showgunt-Avion   https://op.gg/es/lol/summoners/las/LAP%20BacArdi06-LAS</t>
  </si>
  <si>
    <t>yasircaba@gmail.com</t>
  </si>
  <si>
    <t>SAYRI</t>
  </si>
  <si>
    <t>SRY</t>
  </si>
  <si>
    <t>https://drive.google.com/open?id=15upWvUX9e-jGW010jeO97bMOLBiUWl3d</t>
  </si>
  <si>
    <t>https://drive.google.com/open?id=1RkTKHNjSGcG5fIz93wDu-TMrEg9vBJur</t>
  </si>
  <si>
    <t>Diego Ortubé</t>
  </si>
  <si>
    <t>diegorennatto@mail.com</t>
  </si>
  <si>
    <t>diegoortube</t>
  </si>
  <si>
    <t>Rafael Ortubé</t>
  </si>
  <si>
    <t>rafikiom #LAS</t>
  </si>
  <si>
    <t>https://op.gg/es/lol/summoners/las/rafikiom-LAS</t>
  </si>
  <si>
    <t>El Oogie Boogie #LAS</t>
  </si>
  <si>
    <t>https://op.gg/es/lol/summoners/las/El%20Oogie%20Boogie-LAS</t>
  </si>
  <si>
    <t xml:space="preserve"> </t>
  </si>
  <si>
    <t>Elías Perape Pacheco</t>
  </si>
  <si>
    <t>Piroo #LAS</t>
  </si>
  <si>
    <t>https://op.gg/es/lol/summoners/las/Piroo-LAS</t>
  </si>
  <si>
    <t>Omar Quisbert</t>
  </si>
  <si>
    <t>Gokun #158</t>
  </si>
  <si>
    <t>https://op.gg/es/lol/summoners/las/gokun-158</t>
  </si>
  <si>
    <t>Boris Bartalama</t>
  </si>
  <si>
    <t>Panic At Rift #1899</t>
  </si>
  <si>
    <t>https://op.gg/es/lol/summoners/las/PanicAtRift-1899</t>
  </si>
  <si>
    <t xml:space="preserve">Fernando Salinas 
Ferchu62 #LAS LA PAZ
Franco Tomayo
ArtEnd #23025 LA PAZ </t>
  </si>
  <si>
    <t>diegorennatto@gmail.com</t>
  </si>
  <si>
    <t>Los De la 30</t>
  </si>
  <si>
    <t>LDL</t>
  </si>
  <si>
    <t>https://drive.google.com/open?id=1ND-5C4oyenBe3yCfwhqp8obzeA0QzH2b</t>
  </si>
  <si>
    <t>Bryan</t>
  </si>
  <si>
    <t>matagersons@gmail.com</t>
  </si>
  <si>
    <t>bryandf0852_81118</t>
  </si>
  <si>
    <t xml:space="preserve">José Alejandro Toro Ibáñez </t>
  </si>
  <si>
    <t>Jati#JASM</t>
  </si>
  <si>
    <t>https://op.gg/lol/summoners/las/JATI-JASM</t>
  </si>
  <si>
    <t>Atorox22#0098</t>
  </si>
  <si>
    <t>Alejandro Quispe Espejo</t>
  </si>
  <si>
    <t>Piolin 1#LAS</t>
  </si>
  <si>
    <t>https://op.gg/lol/summoners/las/Piolin%201-LAS</t>
  </si>
  <si>
    <t>Máster</t>
  </si>
  <si>
    <t>a3ljandr0</t>
  </si>
  <si>
    <t>Bryan Sullca Mamani</t>
  </si>
  <si>
    <t>Null#BOMBA</t>
  </si>
  <si>
    <t>https://op.gg/lol/summoners/lan/Null-BOMBA</t>
  </si>
  <si>
    <t xml:space="preserve">Diamond/máster </t>
  </si>
  <si>
    <t>Juan Pablo Flores Quispe</t>
  </si>
  <si>
    <t>Bobby Huntrix #TWICE</t>
  </si>
  <si>
    <t>https://op.gg/lol/summoners/las/Bobby%20Huntrix-TWICE</t>
  </si>
  <si>
    <t xml:space="preserve">Diamante </t>
  </si>
  <si>
    <t>Kaith7780</t>
  </si>
  <si>
    <t xml:space="preserve">Ignacio Miguel Ballon Terrazas </t>
  </si>
  <si>
    <t>Darkless#LAN</t>
  </si>
  <si>
    <t>https://op.gg/lol/summoners/lan/Darkless-LAN</t>
  </si>
  <si>
    <t>ldarkless</t>
  </si>
  <si>
    <t xml:space="preserve">Carlos Lorenzo Callisaya Sangalli,Panda128#xdd,Top, La Paz </t>
  </si>
  <si>
    <t>https://op.gg/lol/summoners/lan/panda128-xdd</t>
  </si>
  <si>
    <t>bryansullca7@gmail.com</t>
  </si>
  <si>
    <t>LIGE FUN LEGENDS</t>
  </si>
  <si>
    <t>|LG|~&gt;</t>
  </si>
  <si>
    <t>https://drive.google.com/open?id=1I44nVi4R6oX2dYAiX8ZFhsKQ9IU5Ty3a</t>
  </si>
  <si>
    <t>https://drive.google.com/open?id=1vEU7Uo887FNLWPaD8_Xe6vYm8UOExGbY</t>
  </si>
  <si>
    <t>Jhosmar Orlando Ferrufino Gutierrez</t>
  </si>
  <si>
    <t>jhos159159@gmail.com</t>
  </si>
  <si>
    <t>jhosmar4253</t>
  </si>
  <si>
    <t>Deymar Luis Lippa Alarcon</t>
  </si>
  <si>
    <t>MYSTRΔL #LΔS</t>
  </si>
  <si>
    <t>https://op.gg/es/lol/summoners/las/MYSTR%CE%94L-L%CE%94S</t>
  </si>
  <si>
    <t>Plata I  y  Plata III</t>
  </si>
  <si>
    <t>scriptteums</t>
  </si>
  <si>
    <t>Michael Rene Alanoca Condori</t>
  </si>
  <si>
    <t>GLDP Mikame#3648</t>
  </si>
  <si>
    <t>https://op.gg/es/lol/summoners/las/GLDP%20Mikame-3648</t>
  </si>
  <si>
    <t>Esmeralda III  y  Oro III</t>
  </si>
  <si>
    <t>mikame5184</t>
  </si>
  <si>
    <t>Emmanuel Isaac Escobar Rios</t>
  </si>
  <si>
    <t>NORAHC#LAS</t>
  </si>
  <si>
    <t>https://op.gg/es/lol/summoners/las/NORAHC-LAS</t>
  </si>
  <si>
    <t>Plata III  y  Bronce I  (Datos de cuenta en LAN)</t>
  </si>
  <si>
    <t>norahciv9478</t>
  </si>
  <si>
    <t>L P#00001</t>
  </si>
  <si>
    <t>https://op.gg/es/lol/summoners/las/L%20P-00001</t>
  </si>
  <si>
    <t>Plata I  y  Plata IV</t>
  </si>
  <si>
    <t xml:space="preserve">Yasser Bryan Lopez Zeballos </t>
  </si>
  <si>
    <t>Yaniskov #11234</t>
  </si>
  <si>
    <t>https://op.gg/es/lol/summoners/las/Yaniskov-11234</t>
  </si>
  <si>
    <t>Plata III  y  Plata IV</t>
  </si>
  <si>
    <t>Yasser Lopez</t>
  </si>
  <si>
    <t>1. Estif Marguay Mamami, MVLAJ #LAS, (Mid, Top, Jungla), La Paz 
2. Alvaro Luis Carlos Del Carpio Blanco, MataMaracos1234#7644, (Mid, Support, Top), La Paz</t>
  </si>
  <si>
    <t>1. Tumbas5972628, 2. Flurry_Kayn443969231</t>
  </si>
  <si>
    <t>Aqours</t>
  </si>
  <si>
    <t>AQS</t>
  </si>
  <si>
    <t>https://drive.google.com/open?id=1Bt2w86qSDpyfpIjJOc0gyRWv6s2CtCxo</t>
  </si>
  <si>
    <t>https://drive.google.com/open?id=1xOe_N9I1taEoiWODx6fMTm5d_qbrhfFc</t>
  </si>
  <si>
    <t>Cristian Fernando Miranda Toro</t>
  </si>
  <si>
    <t>elchiris7w7@gmail.com</t>
  </si>
  <si>
    <t>chiris7w7</t>
  </si>
  <si>
    <t>Zahid Fernando Flores Quispe</t>
  </si>
  <si>
    <t>AQS JAID #AQS</t>
  </si>
  <si>
    <t>https://op.gg/es/lol/summoners/las/AQS%20JAID-AQS</t>
  </si>
  <si>
    <t>Peak: Platino 4 Actual: Plata 1</t>
  </si>
  <si>
    <t>jahidflow</t>
  </si>
  <si>
    <t>Jose Pablo Quevedo Daza</t>
  </si>
  <si>
    <t>AQS KentoMiyaura #AQS</t>
  </si>
  <si>
    <t>https://op.gg/es/lol/summoners/las/AQS%20KentoMiyaura-AQS</t>
  </si>
  <si>
    <t>Peak: Esmeralda 1 Actual: Oro 2</t>
  </si>
  <si>
    <t>musan_7</t>
  </si>
  <si>
    <t>Mauricio Erick Soreta Nava</t>
  </si>
  <si>
    <t>AQS The Knight #3451</t>
  </si>
  <si>
    <t>https://op.gg/es/lol/summoners/las/AQS%20The%20Knight-3451</t>
  </si>
  <si>
    <t>Peak: Platino 4 Actual: Oro 4</t>
  </si>
  <si>
    <t>miku8387</t>
  </si>
  <si>
    <t>Emanuel Alejandro Bejarano Gorostiaga</t>
  </si>
  <si>
    <t>Showtime #EBG</t>
  </si>
  <si>
    <t>https://op.gg/es/lol/summoners/las/Showtime-EBG</t>
  </si>
  <si>
    <t>Peak: Esmeralda 1 Actual: Platino 1</t>
  </si>
  <si>
    <t>ema_101c1</t>
  </si>
  <si>
    <t>AQS TeAmoSilvia #nwn</t>
  </si>
  <si>
    <t>https://op.gg/es/lol/summoners/las/AQS%20TeAmoSilvia-nwn</t>
  </si>
  <si>
    <t>Peak: Esmeralda 2 Actual: Platino 4</t>
  </si>
  <si>
    <t>Ricardo Amonzabel Torrico, AQS YharonGod #LAS, Toplaner y Support
Daniel Alejandro Flores Bautista, DanoVan1113 #LAS, Toplaner</t>
  </si>
  <si>
    <t xml:space="preserve">https://op.gg/es/lol/summoners/las/DanoVan1113-LAS                    https://op.gg/es/lol/summoners/las/AQS%20YharonGod-LAS </t>
  </si>
  <si>
    <t>PATITOS GAMING</t>
  </si>
  <si>
    <t>PG</t>
  </si>
  <si>
    <t>https://drive.google.com/open?id=14jgbKU9E3qb1Xib9lUvZaDohQeMHtRu7</t>
  </si>
  <si>
    <t>https://drive.google.com/open?id=1iggV_Q93YGgmwnHk-tQDhLkiOxnpfMGG</t>
  </si>
  <si>
    <t>brandon jhonatan espinoza tarquino</t>
  </si>
  <si>
    <t>jonathanespinozatarquino1234@gmail.com</t>
  </si>
  <si>
    <t>brandon044645</t>
  </si>
  <si>
    <t>Javier Alejandro Meave Parra</t>
  </si>
  <si>
    <t>⁦Javier Meave⁩#⁦JAVI⁩</t>
  </si>
  <si>
    <t>https://op.gg/es/lol/summoners/las/Javier%20Meave-JAVI</t>
  </si>
  <si>
    <t>alejandromeave</t>
  </si>
  <si>
    <t>Leonardo Daniel Mamani Chino</t>
  </si>
  <si>
    <t>Sylvester t4lon#LAS</t>
  </si>
  <si>
    <t>https://op.gg/es/lol/summoners/las/Sylvester%20t4lon-LAS</t>
  </si>
  <si>
    <t>leonard8469</t>
  </si>
  <si>
    <t>Daniel Cristobal Bolaños Gutierrez</t>
  </si>
  <si>
    <t>EL RORR0 #6969</t>
  </si>
  <si>
    <t>https://op.gg/es/lol/summoners/las/EL%20RORR0-6969</t>
  </si>
  <si>
    <t>platino</t>
  </si>
  <si>
    <t>cris085184</t>
  </si>
  <si>
    <t>Josue edson calle ramires</t>
  </si>
  <si>
    <t>Şaqqir112#1235</t>
  </si>
  <si>
    <t>https://op.gg/es/lol/summoners/las/%C5%9Eaqqir112-1235</t>
  </si>
  <si>
    <t>plata</t>
  </si>
  <si>
    <t>yompaso</t>
  </si>
  <si>
    <t>Castitatis#pipeM</t>
  </si>
  <si>
    <t>https://op.gg/es/lol/summoners/las/Castitatis-pipeM</t>
  </si>
  <si>
    <t>bronce</t>
  </si>
  <si>
    <t xml:space="preserve">Zaid Hernan Choque Mamani,FallenKing#8952,76136244,ORURO
</t>
  </si>
  <si>
    <t>FallenKing #8952</t>
  </si>
  <si>
    <t xml:space="preserve">Ansiedad Colectiva Gaming </t>
  </si>
  <si>
    <t>ACG</t>
  </si>
  <si>
    <t>https://drive.google.com/open?id=1RRqh1ADMMyUphbSozdcGMWZnpPkY1F2O</t>
  </si>
  <si>
    <t>https://drive.google.com/open?id=1Gvn1TT76KxpT4Wmv0nfC5L50QIG9ypBM</t>
  </si>
  <si>
    <t xml:space="preserve">John Marcelo Vargas Apaza </t>
  </si>
  <si>
    <t>meisz2006@gmail.com</t>
  </si>
  <si>
    <t>maizhena</t>
  </si>
  <si>
    <t>ACG Syhorm#013</t>
  </si>
  <si>
    <t>https://op.gg/es/lol/summoners/las/ACG%20Syhorm-013</t>
  </si>
  <si>
    <t>Plata 3 y bronce 3</t>
  </si>
  <si>
    <t>Alejandro Adrian Villarreal Porcel</t>
  </si>
  <si>
    <t>ACG Pochoclo#YIPII</t>
  </si>
  <si>
    <t>https://op.gg/lol/summoners/las/ACG%20Pochoclo-YIPII</t>
  </si>
  <si>
    <t>platino 4 y Oro 2</t>
  </si>
  <si>
    <t>soyalae</t>
  </si>
  <si>
    <t>Alberto Alejandro Molina Kisen</t>
  </si>
  <si>
    <t>ACG FueraVen3c0s#Down</t>
  </si>
  <si>
    <t>https://op.gg/es/lol/summoners/las/ACG%20FueraVen3c0s-Down</t>
  </si>
  <si>
    <t xml:space="preserve">Oro 2 y plata 4 </t>
  </si>
  <si>
    <t>bezz</t>
  </si>
  <si>
    <t>Julio Cesar Chavez Limachi</t>
  </si>
  <si>
    <t>ACG Ch4ca1ing#Shesh</t>
  </si>
  <si>
    <t>https://op.gg/lol/summoners/las/ACG%20Ch4ca1ing-Shesh</t>
  </si>
  <si>
    <t>plata 3 y plata 4</t>
  </si>
  <si>
    <t>chacaling</t>
  </si>
  <si>
    <t>Sebastian Garron Vaca</t>
  </si>
  <si>
    <t>ACG MomazosKocho#Kocho</t>
  </si>
  <si>
    <t>https://op.gg/lol/summoners/las/ACG%20MomazosKocho-Kocho</t>
  </si>
  <si>
    <t>Oro 3 y plata 2</t>
  </si>
  <si>
    <t xml:space="preserve">kronoskwt </t>
  </si>
  <si>
    <t xml:space="preserve">Team Bolivian Force </t>
  </si>
  <si>
    <t>TBF</t>
  </si>
  <si>
    <t>https://drive.google.com/open?id=1Auz4n38rOXVDoa1jXlFtwrvPicCkDtP5</t>
  </si>
  <si>
    <t>https://drive.google.com/open?id=1YYxUn4atYe77vFAEGwxEJVTMIZlwbp-I</t>
  </si>
  <si>
    <t xml:space="preserve">Brayan Milton Ticona alanez </t>
  </si>
  <si>
    <t>brayananana@gmail.com</t>
  </si>
  <si>
    <t>brayan204629</t>
  </si>
  <si>
    <t>Jhamil bravo</t>
  </si>
  <si>
    <t>Charmilian#LAS</t>
  </si>
  <si>
    <t>https://op.gg/es/lol/summoners/las/Charmilian-LAS</t>
  </si>
  <si>
    <t>Oro 4</t>
  </si>
  <si>
    <t>+591 61166152</t>
  </si>
  <si>
    <t>Charmilian9365</t>
  </si>
  <si>
    <t>Ronald villarroel</t>
  </si>
  <si>
    <t>Adj#591</t>
  </si>
  <si>
    <t>https://op.gg/es/lol/summoners/las/%C3%81dj-591</t>
  </si>
  <si>
    <t>Oro1</t>
  </si>
  <si>
    <t>+591 62665821</t>
  </si>
  <si>
    <t>Monchito9658</t>
  </si>
  <si>
    <t>TOPLANER, AD CARRY, SUPPORT</t>
  </si>
  <si>
    <t>Mel yata</t>
  </si>
  <si>
    <t>Jellymel2#3318</t>
  </si>
  <si>
    <t>https://op.gg/es/lol/summoners/las/JellyMel2-3318</t>
  </si>
  <si>
    <t>Hierro1</t>
  </si>
  <si>
    <t>+591 62971317</t>
  </si>
  <si>
    <t>Pretty_sinner1_08941</t>
  </si>
  <si>
    <t xml:space="preserve">Brayan Ticona </t>
  </si>
  <si>
    <t>TheDarkBeautiful#LAS</t>
  </si>
  <si>
    <t>https://op.gg/es/lol/summoners/las/TheDarkBeautiful-LAS</t>
  </si>
  <si>
    <t>Hierro3</t>
  </si>
  <si>
    <t>Cristhian Cabrera</t>
  </si>
  <si>
    <t>IsentSovi#LAS</t>
  </si>
  <si>
    <t>https://op.gg/es/lol/summoners/las/iSentSovi-LAS</t>
  </si>
  <si>
    <t xml:space="preserve">Plata </t>
  </si>
  <si>
    <t>+591 69892836</t>
  </si>
  <si>
    <t>Cristhian1209</t>
  </si>
  <si>
    <t xml:space="preserve">Blas Brian limos, BLASSKEYLOR#LAS,hierro 1 la paz 
Lucas Morales neji54#LAS mid la sucre 
</t>
  </si>
  <si>
    <t>https://tracker.gg/lol/profile/riot/BLASSKEYLOR1%23LAS/.  https://tracker.gg/lol/profile/riot/Neji54%23LAS/overview?queue=NORMAL_5V5_SWIFTPLAY&amp;season=2025-08-27T04:00:00%2B00:00</t>
  </si>
  <si>
    <t xml:space="preserve">ASG </t>
  </si>
  <si>
    <t>https://drive.google.com/open?id=1W6mGJGx3niLfQ6jroJePpSyeuX5CdDjW</t>
  </si>
  <si>
    <t>https://drive.google.com/open?id=1TiLhAPj5ntHwC_SJe9XGKG5cIXyTx091</t>
  </si>
  <si>
    <t>John Marcelo Vargas Apaza</t>
  </si>
  <si>
    <t>https://op.gg/lol/summoners/las/ACG%20Syhorm-013</t>
  </si>
  <si>
    <t>plata 3 y bronce 1</t>
  </si>
  <si>
    <t>esmeralda 4 y oro 2</t>
  </si>
  <si>
    <t>https://op.gg/lol/summoners/las/ACG%20FueraVen3c0s-Down</t>
  </si>
  <si>
    <t>Oro 2 y plata 4</t>
  </si>
  <si>
    <t>bezzk</t>
  </si>
  <si>
    <t>bronce 3 y hierro 1</t>
  </si>
  <si>
    <t>Oro 4 y plata 2</t>
  </si>
  <si>
    <t>kronoskwt</t>
  </si>
  <si>
    <t>SKS TT</t>
  </si>
  <si>
    <t>SKS</t>
  </si>
  <si>
    <t>https://drive.google.com/open?id=1ZCitGtNsFpEnZLosTyAJmHpGTSdenqX5</t>
  </si>
  <si>
    <t>https://drive.google.com/open?id=1UAyMKbe3_xk3xj6lr4OAbujK5OhBfvLo</t>
  </si>
  <si>
    <t xml:space="preserve">Juan Andres Zeballos Torrico </t>
  </si>
  <si>
    <t>+591 77802310</t>
  </si>
  <si>
    <t>lordjuan987@gmail.com</t>
  </si>
  <si>
    <t>Noexe#7160</t>
  </si>
  <si>
    <t>Luis Marco Ayala Eguez</t>
  </si>
  <si>
    <t>Hyuned#LAS</t>
  </si>
  <si>
    <t>https://op.gg/pt/lol/summoners/las/Hyuned-LAS</t>
  </si>
  <si>
    <t>Esmeralda 4 oro 2</t>
  </si>
  <si>
    <t>+591 69192091</t>
  </si>
  <si>
    <t>Venxar#6682</t>
  </si>
  <si>
    <t>Juan Andres Zeballos Torrico</t>
  </si>
  <si>
    <t>Noexe #6562</t>
  </si>
  <si>
    <t>https://op.gg/lol/summoners/las/Noexe-6562</t>
  </si>
  <si>
    <t>Esmeralda 1/unranked</t>
  </si>
  <si>
    <t xml:space="preserve">Alan Mauricio Ribera Villagomez </t>
  </si>
  <si>
    <t>lance2001 #LAS</t>
  </si>
  <si>
    <t>https://op.gg/lol/summoners/las/lance2001-LAS</t>
  </si>
  <si>
    <t xml:space="preserve">Oro 4/ silver 4 </t>
  </si>
  <si>
    <t>lancersnow2001#3827</t>
  </si>
  <si>
    <t>Bruno González Jordán</t>
  </si>
  <si>
    <t>Nangui123#LAS</t>
  </si>
  <si>
    <t>https://op.gg/pt/lol/summoners/las/Nangui123-LAS</t>
  </si>
  <si>
    <t>oro3/oro4</t>
  </si>
  <si>
    <t>+591 77622756</t>
  </si>
  <si>
    <t>brunogonzalezj#9992</t>
  </si>
  <si>
    <t>Guillermo David huallpa llanos</t>
  </si>
  <si>
    <t>mixel2 #LAS</t>
  </si>
  <si>
    <t>https://op.gg/pt/lol/summoners/las/mixel2-LAS</t>
  </si>
  <si>
    <t>esmeralda 1 platino 2</t>
  </si>
  <si>
    <t>+591 63441648</t>
  </si>
  <si>
    <t>Mixel#0037</t>
  </si>
  <si>
    <t>Sebastian Andrade Yummi sin ropa
#AFK support</t>
  </si>
  <si>
    <t>https://op.gg/lol/summoners/las/Yummi%20sin%20ropa-AFK</t>
  </si>
  <si>
    <t>mauricioarv2016@gmail.com</t>
  </si>
  <si>
    <t>GREMORY TEMPEST</t>
  </si>
  <si>
    <t>GT</t>
  </si>
  <si>
    <t>https://drive.google.com/open?id=1-MVRkC4Ty8Pjg_2cmg47MChZpxi78AFx</t>
  </si>
  <si>
    <t>https://drive.google.com/open?id=109mqVujGKzQp7JhkLlYjHgavn3k-ishd</t>
  </si>
  <si>
    <t>+591 74665685</t>
  </si>
  <si>
    <t>thiagoaveranga@gmail.com</t>
  </si>
  <si>
    <t>thiago5489</t>
  </si>
  <si>
    <t>Satanya#LAS</t>
  </si>
  <si>
    <t>https://op.gg/es/lol/summoners/las/Satanya-LAS</t>
  </si>
  <si>
    <t>esmeralda 3 actual platino 3</t>
  </si>
  <si>
    <t>+591 70377893</t>
  </si>
  <si>
    <t>LeonardSoul</t>
  </si>
  <si>
    <t>Gabriel Martinez</t>
  </si>
  <si>
    <t xml:space="preserve">  Cristin07#LAS</t>
  </si>
  <si>
    <t>https://op.gg/es/lol/summoners/las/%20%20Cristin07-LAS</t>
  </si>
  <si>
    <t>plata 4 elo actual bronce 4</t>
  </si>
  <si>
    <t>+591 72126723</t>
  </si>
  <si>
    <t>Nero0_06</t>
  </si>
  <si>
    <t>thiago averanga salazar</t>
  </si>
  <si>
    <t>pentakill ADC#LAS</t>
  </si>
  <si>
    <t>https://op.gg/es/lol/summoners/las/pentakill%20ADC-LAS</t>
  </si>
  <si>
    <t>ORO 1 elo actual plata 2</t>
  </si>
  <si>
    <t>RobiMani#LAS</t>
  </si>
  <si>
    <t>https://op.gg/es/lol/summoners/las/RobiMani-LAS</t>
  </si>
  <si>
    <t>+591 78507076</t>
  </si>
  <si>
    <t>dig degtrex#2203</t>
  </si>
  <si>
    <t>https://op.gg/es/lol/summoners/las/dig%20degtrex-2203</t>
  </si>
  <si>
    <t>+51 929 408 262</t>
  </si>
  <si>
    <t>FOcus al adc⁩#⁦ptes , soporte ,jg y mid</t>
  </si>
  <si>
    <t>https://op.gg/es/lol/summoners/las/FOcus%20al%20adc-ptes</t>
  </si>
  <si>
    <t>thiagoandersonaverangasalazar@gmail.com</t>
  </si>
  <si>
    <t>Depresión Colectiva Gaming</t>
  </si>
  <si>
    <t>DCG</t>
  </si>
  <si>
    <t>https://drive.google.com/open?id=19tw37jgQiRo-eibysXSXnGG8j-fWZsE1</t>
  </si>
  <si>
    <t>https://drive.google.com/open?id=1roxN8lTu_vfRo0S9Ld3omLpx2Bu1k_9-</t>
  </si>
  <si>
    <t>Carlos Dorian Marín Sainz</t>
  </si>
  <si>
    <t>depresioncolectivaestudios@gmail.com</t>
  </si>
  <si>
    <t>_carlosmarin</t>
  </si>
  <si>
    <t>Alan Rodrigo Mercado Herbas</t>
  </si>
  <si>
    <t>DCG DradocK #ING</t>
  </si>
  <si>
    <t>https://op.gg/lol/summoners/las/DCG%20DradocK-ING</t>
  </si>
  <si>
    <t>Platino IV/Oro 2</t>
  </si>
  <si>
    <t>yair19</t>
  </si>
  <si>
    <t>Sergio Ignacio Cusicanqui Monasterios</t>
  </si>
  <si>
    <t>DCG Khuzy #JPG</t>
  </si>
  <si>
    <t>https://op.gg/lol/summoners/las/DCG%20Khuzy-JPG</t>
  </si>
  <si>
    <t>Plata 3 / Bronce 3</t>
  </si>
  <si>
    <t>nachomanuwu</t>
  </si>
  <si>
    <t>DCG Bocho#ING</t>
  </si>
  <si>
    <t>https://op.gg/lol/summoners/las/DCG%20Bocho-ING</t>
  </si>
  <si>
    <t>Oro 1 / Plata 4</t>
  </si>
  <si>
    <t>Santiago Maldonado García</t>
  </si>
  <si>
    <t>DCG gato dron #RLC</t>
  </si>
  <si>
    <t>https://op.gg/lol/summoners/las/DCG%20gato%20dron-RLC</t>
  </si>
  <si>
    <t>Oro 4 / Plata 1</t>
  </si>
  <si>
    <t>temeso</t>
  </si>
  <si>
    <t>Rodrigo Robles Oña</t>
  </si>
  <si>
    <t>DCG Nomacalaris #XYZ</t>
  </si>
  <si>
    <t>https://op.gg/lol/summoners/las/DCG%20Nomacalaris-XYZ</t>
  </si>
  <si>
    <t>Platino 4 / Oro 3</t>
  </si>
  <si>
    <t>nothingfornow</t>
  </si>
  <si>
    <t>Manuel Fernando Rada Arias, DCG Radis #PTS,  Soporte ADC, La Paz</t>
  </si>
  <si>
    <t>https://op.gg/lol/summoners/las/DCG%20Radis-PTS</t>
  </si>
  <si>
    <t>cardomars@gmail.com</t>
  </si>
  <si>
    <t>Road2</t>
  </si>
  <si>
    <t>R2</t>
  </si>
  <si>
    <t>https://drive.google.com/open?id=11lWH3LR-jP11e54H2vF_kUNK4K5YI1CN</t>
  </si>
  <si>
    <t>https://drive.google.com/open?id=1wUxurK1lI0tmJMni2sfZ1pyNlysXld7-</t>
  </si>
  <si>
    <t xml:space="preserve">Alejandro Andre Rivero Saucedo </t>
  </si>
  <si>
    <t>alers8821@gmail.com</t>
  </si>
  <si>
    <t>xXChocardOXx #0364</t>
  </si>
  <si>
    <t>Diego Kiyoshi Ferreira Shimokawa</t>
  </si>
  <si>
    <t>R2 KiochideuZ #lin</t>
  </si>
  <si>
    <t>https://op.gg/lol/summoners/las/R2%20KiochideuZ-lin</t>
  </si>
  <si>
    <t>Platino- Oro</t>
  </si>
  <si>
    <t xml:space="preserve">Kiyoshitsu_ </t>
  </si>
  <si>
    <t xml:space="preserve">Ronaldo Alberto justiniano Camargo </t>
  </si>
  <si>
    <t>R2 Reizensteel #Road2</t>
  </si>
  <si>
    <t>https://op.gg/es/lol/summoners/las/R2%20RaizenSteel-Road2</t>
  </si>
  <si>
    <t>Raaizen</t>
  </si>
  <si>
    <t>Luis Carlos Tarazona Vaca</t>
  </si>
  <si>
    <t>R2 Tarazona #7777</t>
  </si>
  <si>
    <t>https://op.gg/lol/summoners/las/R2%20Tarrazona-7777</t>
  </si>
  <si>
    <t>Tarrazona #7720</t>
  </si>
  <si>
    <t>Jose Eduardo Coll Velez</t>
  </si>
  <si>
    <t>R2 Coll #Coll</t>
  </si>
  <si>
    <t>https://op.gg/lol/summoners/las/R2%20Coll-Coll</t>
  </si>
  <si>
    <t>Coll_j</t>
  </si>
  <si>
    <t>G2 Alers09 #LASAN</t>
  </si>
  <si>
    <t>https://op.gg/lol/summoners/las/G2%20Alers09-LASAN</t>
  </si>
  <si>
    <t>Billy Patton Avalos, R2 IoIoIexo #LLLX, Toplaner
Khalil Arab Núñez, R2 Arab #4113, support</t>
  </si>
  <si>
    <t>https://op.gg/lol/summoners/las/R2%20IoIoIexo-LLLX</t>
  </si>
  <si>
    <t>MalcriadinhasFC</t>
  </si>
  <si>
    <t>MFC</t>
  </si>
  <si>
    <t>https://drive.google.com/open?id=1xvX8PbOpAVxk_lxUKgJJ7E70EP4TbqBt</t>
  </si>
  <si>
    <t>Nicolas Melgarejo Gamboa</t>
  </si>
  <si>
    <t>nicolasmelgarejogamboa@gmail.com</t>
  </si>
  <si>
    <t>Nixlag#0276</t>
  </si>
  <si>
    <t>7947535 CB</t>
  </si>
  <si>
    <t>Micael Mendoza Rada</t>
  </si>
  <si>
    <t>mnkl#swift</t>
  </si>
  <si>
    <t>https://op.gg/lol/summoners/las/mnkl-swift</t>
  </si>
  <si>
    <t>Peak:Esmeralda 4; actual: Esmeralda 4</t>
  </si>
  <si>
    <t>Minec4el#7309</t>
  </si>
  <si>
    <t>Leonardo Franco Guarachi Castro</t>
  </si>
  <si>
    <t>leofranguara#1711</t>
  </si>
  <si>
    <t>https://op.gg/lol/summoners/las/leofranguara-1711</t>
  </si>
  <si>
    <t>Peak: Hierro 3; Actual: hierro 3</t>
  </si>
  <si>
    <t>leofranguara#5345</t>
  </si>
  <si>
    <t>Nixlag#jajaja</t>
  </si>
  <si>
    <t>https://op.gg/lol/summoners/las/Nixlag-lol</t>
  </si>
  <si>
    <t>Peak: plata 1; actual: bronce 2</t>
  </si>
  <si>
    <t>Víctor Matheus Gerrería Villarroel</t>
  </si>
  <si>
    <t>wolftirent#Vic</t>
  </si>
  <si>
    <t>https://op.gg/lol/summoners/las/wolftirent-Vic</t>
  </si>
  <si>
    <t>Peak Hierro 2; actual hierro 2</t>
  </si>
  <si>
    <t>wolftirent#2115</t>
  </si>
  <si>
    <t>Lawrence Nicolas Guzman Patiño</t>
  </si>
  <si>
    <t>ECNERWAL#117</t>
  </si>
  <si>
    <t>https://op.gg/lol/summoners/las/ECNERWAL-117</t>
  </si>
  <si>
    <t>Peak: plata 4; actual: bronce 3</t>
  </si>
  <si>
    <t>Pochita Lover#8198</t>
  </si>
  <si>
    <t>Camilo Gabriel Jaldin Coca, 11n011NL#5021, Suport, ADC</t>
  </si>
  <si>
    <t>https://op.gg/lol/summoners/las/11n011NL-5021</t>
  </si>
  <si>
    <t>leogurachi@gmail.com</t>
  </si>
  <si>
    <t>Crimson Weasels</t>
  </si>
  <si>
    <t>CRW</t>
  </si>
  <si>
    <t>https://drive.google.com/open?id=1-iTCrR6wI680f8rbnbCyz1XfL48OwyOB</t>
  </si>
  <si>
    <t>https://drive.google.com/open?id=1TlOVQqwWL1EPk7gHA0uvMVfTHhdy_D_U</t>
  </si>
  <si>
    <t>Reiner Llanos</t>
  </si>
  <si>
    <t>reinerllanos34@gmail.com</t>
  </si>
  <si>
    <t>rayvan564</t>
  </si>
  <si>
    <t>Gerardo Velasquez</t>
  </si>
  <si>
    <t>gevisi itm#LAAAS</t>
  </si>
  <si>
    <t>https://op.gg/es/lol/summoners/las/gevisi%20itm-LAAAS</t>
  </si>
  <si>
    <t>eso en soloQ llego hasta oro 1 y esta actualmente en oro 1</t>
  </si>
  <si>
    <t>gevisi#4122</t>
  </si>
  <si>
    <t>Benjamin Llanos</t>
  </si>
  <si>
    <t>deymarks#LAS</t>
  </si>
  <si>
    <t>https://op.gg/es/lol/summoners/las/deymarks-LAS</t>
  </si>
  <si>
    <t>plata 1 actual plata 2</t>
  </si>
  <si>
    <t>ristofer.</t>
  </si>
  <si>
    <t>Abner Ticona</t>
  </si>
  <si>
    <t>Koltken#LAS</t>
  </si>
  <si>
    <t>https://op.gg/es/lol/summoners/las/Koltken-LAS</t>
  </si>
  <si>
    <t>Platino 4 y elo actual platino 4</t>
  </si>
  <si>
    <t>abnerwaaaaaaaaaaaaaaa</t>
  </si>
  <si>
    <t>FbRayvan#564</t>
  </si>
  <si>
    <t>https://op.gg/es/lol/summoners/las/FbRayvan-564</t>
  </si>
  <si>
    <t>Platino 1 Y elo actual platino 4</t>
  </si>
  <si>
    <t>rayvan564#4052</t>
  </si>
  <si>
    <t>Israel Alessandro Castro Arteaga</t>
  </si>
  <si>
    <t>ExplosiveSweat2 #LPL</t>
  </si>
  <si>
    <t>https://op.gg/es/lol/summoners/las/ExplosiveSweat2-LPL</t>
  </si>
  <si>
    <t>Platino 1 y actual plata 1</t>
  </si>
  <si>
    <t>kirito123654#0116</t>
  </si>
  <si>
    <t>Joel Quelca, 
YoSoyJoe#8044
suport</t>
  </si>
  <si>
    <t>https://op.gg/es/lol/summoners/las/YoSoyJoe-8044</t>
  </si>
  <si>
    <t>Kaox Blue</t>
  </si>
  <si>
    <t>KaoxB</t>
  </si>
  <si>
    <t>https://drive.google.com/open?id=1WAG9PbAnti7fo1KGH36I5InuFWynDusd</t>
  </si>
  <si>
    <t>https://drive.google.com/open?id=1BulOScRZWoYf-JgjI247zPYDUIfzeoeD</t>
  </si>
  <si>
    <t>Daniel Laurens Laura Ulo</t>
  </si>
  <si>
    <t>+591 7056686</t>
  </si>
  <si>
    <t>Kaosnoxgaming.servicio@gmail.com</t>
  </si>
  <si>
    <t>Lyvande#0125</t>
  </si>
  <si>
    <t>Lucas Camacho Anaya</t>
  </si>
  <si>
    <t>Post Mortem#dllom</t>
  </si>
  <si>
    <t>https://op.gg/es/lol/summoners/las/Post%20Mortem-dllom</t>
  </si>
  <si>
    <t>Peak GM - Actual D1</t>
  </si>
  <si>
    <t>yolohunter61</t>
  </si>
  <si>
    <t>Pablo Ignacio Álvarez Espinoza</t>
  </si>
  <si>
    <t>EL PABLEX #LAN</t>
  </si>
  <si>
    <t>https://op.gg/lol/summoners/lan/EL%20PABLEX%20-LAN</t>
  </si>
  <si>
    <t>PEAK ELO máster  y ELO ACTUAL Diamante 1</t>
  </si>
  <si>
    <t>ElPablex#1961</t>
  </si>
  <si>
    <t>Eddy Kaled Silvetti Mancilla</t>
  </si>
  <si>
    <t>DirtyDianaMJ#LAS</t>
  </si>
  <si>
    <t>https://op.gg/lol/summoners/las/DirtyDianaMJ-LAS</t>
  </si>
  <si>
    <t>+591 71277708</t>
  </si>
  <si>
    <t>kale_caboom</t>
  </si>
  <si>
    <t>Carlos Alejandro Young Méndez</t>
  </si>
  <si>
    <t>Carlos Prime #YNG</t>
  </si>
  <si>
    <t>https://op.gg/es/lol/summoners/las/Carlos%20Prime-YNG</t>
  </si>
  <si>
    <t>Máster 80 pl - Dimaante II</t>
  </si>
  <si>
    <t>sucio pit #0493</t>
  </si>
  <si>
    <t>Rudy Elias Choque Loza</t>
  </si>
  <si>
    <t xml:space="preserve">T1 HaMeRfAL #izi </t>
  </si>
  <si>
    <t>https://op.gg/es/lol/summoners/las/T1%20HaMeRfAL-izi</t>
  </si>
  <si>
    <t>hamerfalelias8168</t>
  </si>
  <si>
    <t>Joel Johannes Zuñiga Aguayo, Haoran #China, Midlane</t>
  </si>
  <si>
    <t>https://op.gg/lol/summoners/las/Haoran-CHINA</t>
  </si>
  <si>
    <t>laurensdaniel2013@gmail.com</t>
  </si>
  <si>
    <t>CYBER KNIGHTS ARMY</t>
  </si>
  <si>
    <t>CKA</t>
  </si>
  <si>
    <t>https://drive.google.com/open?id=1VJJJfbepQrynGfC-Yu5g4dOZJ6RttA91</t>
  </si>
  <si>
    <t>https://drive.google.com/open?id=1NdXNn0FGiLrwDtb9MD1k65KkIA7RPJCr</t>
  </si>
  <si>
    <t>Aler Joshua Vasquez Reyes</t>
  </si>
  <si>
    <t>alerjoshuavasquezreyes@gmail.com</t>
  </si>
  <si>
    <t>Alerkill#3946</t>
  </si>
  <si>
    <t>CKA Alerkill #LAS</t>
  </si>
  <si>
    <t>https://op.gg/es/lol/summoners/las/CKA%20%20Alerkill-LAS</t>
  </si>
  <si>
    <t>PEAK ELO ORO 2 Y ELO ACTUAL PLATA 2</t>
  </si>
  <si>
    <t>CKA Alerkill #3946</t>
  </si>
  <si>
    <t xml:space="preserve">Marcos Fabian Apaza Cuellar </t>
  </si>
  <si>
    <t>CKA icyplays#CKA</t>
  </si>
  <si>
    <t>https://op.gg/es/lol/summoners/las/CKA%20icyplays-CKA</t>
  </si>
  <si>
    <t>PEAK ELO diamante PEAK ACTUAL platino</t>
  </si>
  <si>
    <t>icyplays7819</t>
  </si>
  <si>
    <t>Misael Rodrigo Velasco Cuevas</t>
  </si>
  <si>
    <t>CKA Mrodrigoxd#8429</t>
  </si>
  <si>
    <t>https://op.gg/es/lol/summoners/las/CKA%20MRodrigoxd-8429</t>
  </si>
  <si>
    <t>PEAK ELO plata 4 ELO ACTUAL bronce 2</t>
  </si>
  <si>
    <t>(MID/JG) MRodrigoxd</t>
  </si>
  <si>
    <t>José Maria Nuñez Velasquez</t>
  </si>
  <si>
    <t>CKA Sun#SCZ</t>
  </si>
  <si>
    <t>https://op.gg/es/lol/summoners/las/CKA%20Sun-SCZ</t>
  </si>
  <si>
    <t>peak elo PLATINO 3 elo actual PLATA 2</t>
  </si>
  <si>
    <t>Josema30</t>
  </si>
  <si>
    <t>Cristhian Cervantes</t>
  </si>
  <si>
    <t>CKA CRISTH11#ALG</t>
  </si>
  <si>
    <t>https://op.gg/es/lol/summoners/las/CKA%20CRISTH11-ALG</t>
  </si>
  <si>
    <t>PEAK ELO ORO 4 Y ELO ACTUAL ORO 4</t>
  </si>
  <si>
    <t>XCyr 11#koo04800</t>
  </si>
  <si>
    <t>Alejandro Misericordia Velarde,  RTX 4090#4000, ADC ; Quino Agreda Elvis Ruddy, Loco2014#Apolo, TOP ; Estif Marguay Mamani, MVLAJ#LAS, JUNGLA ; Erick Gonzales, A1zz#tkcha, ADC, ;</t>
  </si>
  <si>
    <t>https://op.gg/es/lol/summoners/las/RTX%204090-4000   https://op.gg/es/lol/summoners/las/Loco2014-Apolo   https://op.gg/es/lol/summoners/las/MVLAJ-LAS   https://op.gg/es/lol/summoners/las/A1zz-tkcha</t>
  </si>
  <si>
    <t>Los Bros</t>
  </si>
  <si>
    <t>BRO</t>
  </si>
  <si>
    <t>https://drive.google.com/open?id=12MRXIjKNK0dRgoP_fmyEqOUD1CDeifch</t>
  </si>
  <si>
    <t>https://drive.google.com/open?id=1Z9pPbpt-tS22Y1I0SrbOwRVZM4euhg5_</t>
  </si>
  <si>
    <t>Brian Cristhian Quispe Michura</t>
  </si>
  <si>
    <t>brianmichura@gmail.com</t>
  </si>
  <si>
    <t>xXH1DEXx#0539</t>
  </si>
  <si>
    <t>Walter Mena Choquehuanca</t>
  </si>
  <si>
    <t>Dj Bald0mer0 #LAS</t>
  </si>
  <si>
    <t>https://op.gg/es/lol/summoners/lan/ladermon2-LAN</t>
  </si>
  <si>
    <t>Diamante 4 y platino 4</t>
  </si>
  <si>
    <t>Mugiwara"walter"#0499</t>
  </si>
  <si>
    <t>Luis Patricio Rios Salazar</t>
  </si>
  <si>
    <t>Heiz#Demon</t>
  </si>
  <si>
    <t>https://op.gg/es/lol/summoners/lan/HEIZ-ONER</t>
  </si>
  <si>
    <t>Peak elo (Platino 2) y Elo actual (Plata 1)</t>
  </si>
  <si>
    <t>HEIZZZ🤡#9287</t>
  </si>
  <si>
    <t>Dennis Carlos Morales Villalva</t>
  </si>
  <si>
    <t>Iscar#isa</t>
  </si>
  <si>
    <t>https://op.gg/es/lol/summoners/lan/Iscar-snow</t>
  </si>
  <si>
    <t>Peak Elo (Esmeralda 1) y Elo actual (Oro 1)</t>
  </si>
  <si>
    <t>IscarDenni#2791</t>
  </si>
  <si>
    <t>Hidexx#ISG</t>
  </si>
  <si>
    <t>https://op.gg/es/lol/summoners/lan/Hidex-7656</t>
  </si>
  <si>
    <t>Peak Elo (Esmeralda 1) y Elo actual (Esmeralda 4)</t>
  </si>
  <si>
    <t>xXH1DEXx0539</t>
  </si>
  <si>
    <t>Diego Antonio Calle Velasco</t>
  </si>
  <si>
    <t>Lepokå#LAS</t>
  </si>
  <si>
    <t>https://op.gg/es/lol/summoners/las/Lepok%C3%A5-LAS</t>
  </si>
  <si>
    <t>Peak Elo (Oro 3) y Elo actual (Oro 3)</t>
  </si>
  <si>
    <t>"diego"#6174</t>
  </si>
  <si>
    <t>Leandro Angel Jimenez, Anjhelo7727#LAS, 78851242, La Paz</t>
  </si>
  <si>
    <t>https://op.gg/es/lol/summoners/las/anjhelo7727-LAS</t>
  </si>
  <si>
    <t>briancristhiannn@gmail.com</t>
  </si>
  <si>
    <t>Grieta cumbiera</t>
  </si>
  <si>
    <t>GRC</t>
  </si>
  <si>
    <t>https://drive.google.com/open?id=1IEUNEezLg-CMn_i_OnGV3oS-8ZdQzwB2</t>
  </si>
  <si>
    <t>https://drive.google.com/open?id=1CaK2mIhcg05B01QA-GokK1-mrpBrWkvT</t>
  </si>
  <si>
    <t>Mario Arian Alexandro Flores Rodriguez</t>
  </si>
  <si>
    <t>arianf343@gmail.com</t>
  </si>
  <si>
    <t>DinoArian</t>
  </si>
  <si>
    <t>Jaime Quispe Cardenas</t>
  </si>
  <si>
    <t>Chinotocola #Las</t>
  </si>
  <si>
    <t>https://www.leagueofgraphs.com/es/summoner/las/Chinotocola+-Las#championsData-all-queues</t>
  </si>
  <si>
    <t>Diamante, esmeralda</t>
  </si>
  <si>
    <t>716850313491120148</t>
  </si>
  <si>
    <t>Mario Arian Alexandro Flores rodriguez</t>
  </si>
  <si>
    <t>OreoConLlajua #Las</t>
  </si>
  <si>
    <t>https://www.leagueofgraphs.com/es/summoner/las/OreoConLlajua-LAS</t>
  </si>
  <si>
    <t>Esmeralda, platino</t>
  </si>
  <si>
    <t>489575372699074572</t>
  </si>
  <si>
    <t>Arial Fernando Choque Baptista</t>
  </si>
  <si>
    <t>Choqlov #Las</t>
  </si>
  <si>
    <t>https://www.leagueofgraphs.com/es/summoner/las/Choqlov-LAS</t>
  </si>
  <si>
    <t>1419491132420657295</t>
  </si>
  <si>
    <t>Francisco Ignacio Maldonado Vargas</t>
  </si>
  <si>
    <t>PanchoPistola02 #las</t>
  </si>
  <si>
    <t>https://op.gg/es/lol/summoners/las/PanchoPistola02-LAS</t>
  </si>
  <si>
    <t>Diamante, Esmeralda</t>
  </si>
  <si>
    <t>469977543097843723</t>
  </si>
  <si>
    <t>Andres Camilo Ortega Lopez</t>
  </si>
  <si>
    <t>Tiotrollcel #las</t>
  </si>
  <si>
    <t>https://op.gg/es/lol/summoners/las/Tio%20Trollcel-LAS</t>
  </si>
  <si>
    <t>711115150916059248</t>
  </si>
  <si>
    <t>Suplente 1 Zeus Kaled Tarifa Molina, ZeusKaled#Las, 314847165975363594, La Paz. Suplente 2 Miguel angel ramirez, 417375236506386434, La Paz</t>
  </si>
  <si>
    <t>https://www.leagueofgraphs.com/es/summoner/las/ZeusKaled+-Las#championsData-all-queues. https://www.leagueofgraphs.com/es/summoner/las/Minsdestroyers-666#championsData-all-queues</t>
  </si>
  <si>
    <t>Camino A Laja</t>
  </si>
  <si>
    <t>CAJ</t>
  </si>
  <si>
    <t>https://drive.google.com/open?id=14eCbaQxL3d-RyQoE5yeNSnorrvyNtXp9</t>
  </si>
  <si>
    <t>David samuel limachi samo</t>
  </si>
  <si>
    <t>deividlimasam@gmail.com</t>
  </si>
  <si>
    <t>davidlimachi.20.</t>
  </si>
  <si>
    <t>EDDYKANNON#LAS</t>
  </si>
  <si>
    <t>https://op.gg/es/lol/summoners/las/EDDYKANNON-LAS</t>
  </si>
  <si>
    <t>Deiler rodriguez mamani</t>
  </si>
  <si>
    <t>MaximuS SlayeR #LAS</t>
  </si>
  <si>
    <t>https://op.gg/es/lol/summoners/las/MaximuS%20SlayeR-LAS</t>
  </si>
  <si>
    <t>deiler225</t>
  </si>
  <si>
    <t>Wilder pacohuanca chavez</t>
  </si>
  <si>
    <t>Shir0w #LAS</t>
  </si>
  <si>
    <t>https://op.gg/es/lol/summoners/las/Shir0w-LAS</t>
  </si>
  <si>
    <t>wyld2795</t>
  </si>
  <si>
    <t>Reynaldo brayan leon quispe</t>
  </si>
  <si>
    <t>pasivo alteño #dvk</t>
  </si>
  <si>
    <t>https://op.gg/es/lol/summoners/las/pasivo%20alte%C3%B1o-dvk</t>
  </si>
  <si>
    <t>trueno0768</t>
  </si>
  <si>
    <t>Wilmer colque cori</t>
  </si>
  <si>
    <t>A LA VERCA TILIN #MRDYU</t>
  </si>
  <si>
    <t>https://op.gg/es/lol/summoners/las/A%20LA%20VERCA%20TILIN-MRDYU</t>
  </si>
  <si>
    <t>Plata</t>
  </si>
  <si>
    <t>zooiid2</t>
  </si>
  <si>
    <t>wilderpacohuancachavez@gmail.com</t>
  </si>
  <si>
    <t>Kaox Yellow</t>
  </si>
  <si>
    <t>KaoxY</t>
  </si>
  <si>
    <t>https://drive.google.com/open?id=182O2SJ4XECeoQTBEmWT6etkYP5FBYHxF</t>
  </si>
  <si>
    <t>https://drive.google.com/open?id=1hGvkFe5NrlFb2Z-OpLPpksedlQi6tfoj</t>
  </si>
  <si>
    <t>+591 70566866</t>
  </si>
  <si>
    <t>kaosnoxgaming.servicio@gmail.com</t>
  </si>
  <si>
    <t>Rafael Ignacio Lovera Arancibia</t>
  </si>
  <si>
    <t>None #RLA</t>
  </si>
  <si>
    <t>https://op.gg/lol/summoners/las/None-RLA</t>
  </si>
  <si>
    <t>Esmeralda II - Diamante III</t>
  </si>
  <si>
    <t>+591 65557854</t>
  </si>
  <si>
    <t>markozo0</t>
  </si>
  <si>
    <t>Martín Rafael López Gutierrez</t>
  </si>
  <si>
    <t>Martincho0#DTB</t>
  </si>
  <si>
    <t>https://op.gg/es/lol/summoners/las/Martincho0-DTB</t>
  </si>
  <si>
    <t xml:space="preserve">GM y Diamante 1 </t>
  </si>
  <si>
    <t>Martincho#7183</t>
  </si>
  <si>
    <t>KX Pynkless#LAS</t>
  </si>
  <si>
    <t>https://op.gg/es/lol/summoners/las/KX%20Pynkless-LAS</t>
  </si>
  <si>
    <t xml:space="preserve">DIamante II - DIamante IV </t>
  </si>
  <si>
    <t>DUGLAS WILLIAMS MAMANI VILLCA</t>
  </si>
  <si>
    <t>duglaspro #6969</t>
  </si>
  <si>
    <t>Diamante 3</t>
  </si>
  <si>
    <t>+591 78719753</t>
  </si>
  <si>
    <t>duglas #0491</t>
  </si>
  <si>
    <t>Oscar Antonio Franco Quispe</t>
  </si>
  <si>
    <t>SrOso IV#LAS</t>
  </si>
  <si>
    <t>https://op.gg/lol/summoners/las/SrOso%20IV-LAS</t>
  </si>
  <si>
    <t>Platino III- Oro II</t>
  </si>
  <si>
    <t>+591 68086870</t>
  </si>
  <si>
    <t>Francowo#0521</t>
  </si>
  <si>
    <t>Israel Alessandro Castro Arteaga, ⁦CiclistaSinLicen⁩#⁦LAS⁩, Soporte, La Paz</t>
  </si>
  <si>
    <t>Portal Gaming</t>
  </si>
  <si>
    <t>https://drive.google.com/open?id=145DI5AQk2qPPQcp1ibHFfIvFlloaYCf_</t>
  </si>
  <si>
    <t>https://drive.google.com/open?id=1Oumh_McbhTi5vTUhvXD21E5YeIyDntNo</t>
  </si>
  <si>
    <t>Sergio Mauricio Arancibia Romero</t>
  </si>
  <si>
    <t>zrimk.jk666@gmail.com</t>
  </si>
  <si>
    <t>Kiuga#7985</t>
  </si>
  <si>
    <t>Franz Brayan Maldonado Sanjinez</t>
  </si>
  <si>
    <t>Reny12#HOLA</t>
  </si>
  <si>
    <t>https://op.gg/lol/summoners/lan/Renydeodo-LAN</t>
  </si>
  <si>
    <t>Peak:Diamante, Actual:Esmeralda 3</t>
  </si>
  <si>
    <t>reny#7888</t>
  </si>
  <si>
    <t xml:space="preserve">Cristhian Deymar Huaynoca Fernández </t>
  </si>
  <si>
    <t>Kãÿñ Têmþęštïrą#Coach</t>
  </si>
  <si>
    <t>https://op.gg/lol/summoners/lan/%D0%BA%E0%B8%84%D0%A3%CE%B7%20%CF%84%CE%BEm%CF%81%CE%BE%C5%9F%C8%9B%C4%B1r%E0%B8%84-Roma</t>
  </si>
  <si>
    <t>Peak:Master Actual:Diamante 3</t>
  </si>
  <si>
    <t>tempestira1</t>
  </si>
  <si>
    <t>Luis Felipe Barriga Ticona</t>
  </si>
  <si>
    <t>KenayDs3 #Ds3</t>
  </si>
  <si>
    <t>https://op.gg/lol/summoners/lan/ERL%20Kenay%20Ds3-GOAT</t>
  </si>
  <si>
    <t>Peak:Master Actual:Esmeralda 1</t>
  </si>
  <si>
    <t>Kenay D#9533</t>
  </si>
  <si>
    <t>Kiuga#LAS</t>
  </si>
  <si>
    <t>https://op.gg/lol/summoners/lan/Kiuga-LAN</t>
  </si>
  <si>
    <t>Peak:Diamante Actual:Esmeralda 1</t>
  </si>
  <si>
    <t>Juan Pablo Larrazabal Polanco</t>
  </si>
  <si>
    <t>Lucardy#4587</t>
  </si>
  <si>
    <t>https://op.gg/lol/summoners/lan/Justo%20Bolsa-EXT</t>
  </si>
  <si>
    <t>Peak:Diamante Actual:Esmeralda 3</t>
  </si>
  <si>
    <t>pasho9844</t>
  </si>
  <si>
    <t xml:space="preserve">Team First Blood </t>
  </si>
  <si>
    <t>TFB</t>
  </si>
  <si>
    <t>https://drive.google.com/open?id=1Dmi90Ls_H2goeAXf_vAa5VLOZ8AkO3_V</t>
  </si>
  <si>
    <t xml:space="preserve">Ernesto Deynor Cloud Villan </t>
  </si>
  <si>
    <t xml:space="preserve">Cloudbcone@gmail.com </t>
  </si>
  <si>
    <t>Cloudbcone</t>
  </si>
  <si>
    <t xml:space="preserve">Fabricio Rocha Ledezma </t>
  </si>
  <si>
    <t>TFB Zedshadow12 #2354</t>
  </si>
  <si>
    <t>https://op.gg/es/lol/summoners/las/TFB%20Zedshadow12-2354</t>
  </si>
  <si>
    <t>Oro y oro</t>
  </si>
  <si>
    <t>zedset123</t>
  </si>
  <si>
    <t xml:space="preserve">Ángel Carter Vallejo Villan </t>
  </si>
  <si>
    <t>TFB Barkiel #1998</t>
  </si>
  <si>
    <t>https://op.gg/es/lol/summoners/las/TFB%20Barkiel-1998</t>
  </si>
  <si>
    <t>Platino y platino</t>
  </si>
  <si>
    <t>Barkiel1998_92737</t>
  </si>
  <si>
    <t xml:space="preserve">TFB Cloud #3867 </t>
  </si>
  <si>
    <t>https://op.gg/es/lol/summoners/las/TFB%20Cloud-3867</t>
  </si>
  <si>
    <t>Mauricio Llorentti Zeballos</t>
  </si>
  <si>
    <t>TFBSumancuroinca #troll</t>
  </si>
  <si>
    <t>https://op.gg/es/lol/summoners/las/TFBSumancuroinca-troll</t>
  </si>
  <si>
    <t xml:space="preserve">Bronce y bronce </t>
  </si>
  <si>
    <t>Thelostchostito</t>
  </si>
  <si>
    <t>Samuel Leonardo Gutierrez</t>
  </si>
  <si>
    <t>TFB FatalizWhite #Fata</t>
  </si>
  <si>
    <t>https://op.gg/es/lol/summoners/las/TFB%20FatalizWhite-Fata</t>
  </si>
  <si>
    <t xml:space="preserve">Plata y plata </t>
  </si>
  <si>
    <t>The_demon_fataliz</t>
  </si>
  <si>
    <t>Iván Edson Alarcón Camacho, TFB Messi #1037, Jg y Top</t>
  </si>
  <si>
    <t>https://op.gg/es/lol/summoners/las/TFB%20Messi-1037</t>
  </si>
  <si>
    <t>cloudbcone@gmail.com</t>
  </si>
  <si>
    <t>EZ TEAM</t>
  </si>
  <si>
    <t>IZI</t>
  </si>
  <si>
    <t>https://drive.google.com/open?id=18OWVIJ6Ulbggv3nmH5dO9SZmRju-U8GH</t>
  </si>
  <si>
    <t>EZEQUIEL CLEMENTE JIMENEZ CONDORI</t>
  </si>
  <si>
    <t>eze.92000.09@gmail.com</t>
  </si>
  <si>
    <t>ezekieljim_xd</t>
  </si>
  <si>
    <t>WILSON JURADO FERNANDEZ</t>
  </si>
  <si>
    <t>TU PIJA#LAS</t>
  </si>
  <si>
    <t>https://op.gg/es/lol/summoners/lan/RUNBLE-LAN</t>
  </si>
  <si>
    <t>ESMERALDA Y PLATINO 4</t>
  </si>
  <si>
    <t xml:space="preserve">wilsonjf25 </t>
  </si>
  <si>
    <t>JHONATAN JIMENEZ CONDORI</t>
  </si>
  <si>
    <t>Ravenhis #LAS</t>
  </si>
  <si>
    <t>https://op.gg/es/lol/summoners/lan/JHONATAN%20XS-LAN</t>
  </si>
  <si>
    <t>PLATINO Y ORO</t>
  </si>
  <si>
    <t>jhonatansito0941</t>
  </si>
  <si>
    <t>JONATHAN ANDRES CARRILLO ARRATIA</t>
  </si>
  <si>
    <t>Karlon #LAS</t>
  </si>
  <si>
    <t>https://op.gg/es/lol/summoners/lan/JOHN%20TUIS-LAN</t>
  </si>
  <si>
    <t>ESMERALDA Y DIAMANTE</t>
  </si>
  <si>
    <t>LIZANDRO MARQUEZ CRISPIN</t>
  </si>
  <si>
    <t>Dále Voli Dále#LAS</t>
  </si>
  <si>
    <t>https://op.gg/es/lol/summoners/lan/Lizandro7w7-LAN</t>
  </si>
  <si>
    <t>DIAMANTE y DIAMANTE</t>
  </si>
  <si>
    <t>lizandro7u7</t>
  </si>
  <si>
    <t>EZEKIEL XD#LAS</t>
  </si>
  <si>
    <t>https://op.gg/es/lol/summoners/lan/EZEKIEL%20XD-LAN</t>
  </si>
  <si>
    <t>DIAMANTE Y ESMERALDA</t>
  </si>
  <si>
    <t>Lunátic eSports</t>
  </si>
  <si>
    <t>LES</t>
  </si>
  <si>
    <t>Nefy Arenas</t>
  </si>
  <si>
    <t>Nefytg#8235</t>
  </si>
  <si>
    <t>Luis Fernando Ferrufino</t>
  </si>
  <si>
    <t>EN1GMA#LiFe</t>
  </si>
  <si>
    <t>https://op.gg/es/lol/summoners/las/EN1GMA-LiFe</t>
  </si>
  <si>
    <t>Da Enigma#8383</t>
  </si>
  <si>
    <t>Alan Marcelo Uscamayta Quenta</t>
  </si>
  <si>
    <t>HharukaYT#LAS</t>
  </si>
  <si>
    <t>sky200.#3040</t>
  </si>
  <si>
    <t>Tigremenboys#las</t>
  </si>
  <si>
    <t>nefytg#8250</t>
  </si>
  <si>
    <t>Deymar Flores Chinchi</t>
  </si>
  <si>
    <t>abel#lass</t>
  </si>
  <si>
    <t>Haru#2450</t>
  </si>
  <si>
    <t>Marcelo germano gonzales aduviri</t>
  </si>
  <si>
    <t>VP Ak1Ra#LAS</t>
  </si>
  <si>
    <t>ak1ra#4329</t>
  </si>
  <si>
    <t>Víctor Hilari        Yiratin#las
Octavio Quispe Choquehuanca         Ariyelen#Las</t>
  </si>
  <si>
    <t>Control de datos de Equipos</t>
  </si>
  <si>
    <t>Rep</t>
  </si>
  <si>
    <t>Pass</t>
  </si>
  <si>
    <t>Capitán de equipo</t>
  </si>
  <si>
    <t>Israel Amilcar Álvarez Mamani</t>
  </si>
  <si>
    <t>izrangel</t>
  </si>
  <si>
    <t>Aceptado</t>
  </si>
  <si>
    <t>Top</t>
  </si>
  <si>
    <t>Completar datos</t>
  </si>
  <si>
    <t>Jg</t>
  </si>
  <si>
    <t>Mid</t>
  </si>
  <si>
    <t>Adc</t>
  </si>
  <si>
    <t>Gerónimo Flores Colque</t>
  </si>
  <si>
    <t>Sup</t>
  </si>
  <si>
    <t>A</t>
  </si>
  <si>
    <t>Sub</t>
  </si>
  <si>
    <t>Sub Top/Jg</t>
  </si>
  <si>
    <t>Dylan Carlos Ramirez Maygua</t>
  </si>
  <si>
    <t>SLK Six9ine#2179</t>
  </si>
  <si>
    <t xml:space="preserve">https://op.gg/es/lol/summoners/las/SLK%20Six9ine-2179         </t>
  </si>
  <si>
    <t>B</t>
  </si>
  <si>
    <t>Sub Adc/Mid</t>
  </si>
  <si>
    <t xml:space="preserve">Axel Pablo Ortega Ampuero  </t>
  </si>
  <si>
    <t xml:space="preserve">SLK 阿克塞爾#FABI </t>
  </si>
  <si>
    <t xml:space="preserve">https://op.gg/es/lol/summoners/las/SLK%20%E9%98%BF%E5%85%8B%E5%A1%9E%E7%88%BE-FABI      </t>
  </si>
  <si>
    <t>memo # RVG</t>
  </si>
  <si>
    <t xml:space="preserve">Fernandez Capuma deymar jhonny </t>
  </si>
  <si>
    <t>fly john#LAS</t>
  </si>
  <si>
    <t>Jhon_fer#</t>
  </si>
  <si>
    <t>Iver Alan Velasquez Aranda, FEiN, La Paz</t>
  </si>
  <si>
    <t>https://op.gg/lol/summoners/lan/FEiN-3AM</t>
  </si>
  <si>
    <t>Kevin Damian Paniagua Rojas, Sparky09, Cba</t>
  </si>
  <si>
    <t>https://op.gg/es/lol/summoners/las/TheRealSparky09-LAS</t>
  </si>
  <si>
    <t>c</t>
  </si>
  <si>
    <t>Limbert Armando Aranda Calle, NewLife, La paz</t>
  </si>
  <si>
    <t>https://op.gg/lol/summoners/lan/NewLife-LAN</t>
  </si>
  <si>
    <t>DriipLas#6217</t>
  </si>
  <si>
    <t>Radamantyys⁩#⁦LAS⁩</t>
  </si>
  <si>
    <t>Sammy369 #GOD</t>
  </si>
  <si>
    <t>ErickPandas #2448</t>
  </si>
  <si>
    <t>ChoryPanLAS#2651</t>
  </si>
  <si>
    <t>Sub/Top/Jg</t>
  </si>
  <si>
    <t>⁦alessandro rafael valda gonzales</t>
  </si>
  <si>
    <t>valda02#LAS</t>
  </si>
  <si>
    <t>Sub/Top</t>
  </si>
  <si>
    <t>VP ISTr1kErl#LAS</t>
  </si>
  <si>
    <t>Sub/Mid/Jg</t>
  </si>
  <si>
    <t>Wilson Alvares Ordoñes</t>
  </si>
  <si>
    <t>The WialØrd#LAS</t>
  </si>
  <si>
    <t>Eduardo Orellana Teran</t>
  </si>
  <si>
    <t>PrfEinsteinLAS #6862</t>
  </si>
  <si>
    <t>Aprobado</t>
  </si>
  <si>
    <t>Hacer seguimiento y pedir datos faltantes</t>
  </si>
  <si>
    <t>Nicolas Auza davalos</t>
  </si>
  <si>
    <t>El Sasasa Yakuza #LAS</t>
  </si>
  <si>
    <t>sweetflush</t>
  </si>
  <si>
    <t>Gabriel Gutierrez</t>
  </si>
  <si>
    <t>Albafikha#LAS</t>
  </si>
  <si>
    <t>gu_ti.</t>
  </si>
  <si>
    <t>Efrain Tola</t>
  </si>
  <si>
    <t>YACY#chrlt</t>
  </si>
  <si>
    <t>Sub/Jg?</t>
  </si>
  <si>
    <t xml:space="preserve">JUAN MAMANI VILLCA </t>
  </si>
  <si>
    <t>T1 RAHI #LAS</t>
  </si>
  <si>
    <t>https://op.gg/es/lol/summoners/las/T1%20RAHI-LAS</t>
  </si>
  <si>
    <t>Potosi</t>
  </si>
  <si>
    <t>SUB/Jg?</t>
  </si>
  <si>
    <t>Maximo Meide</t>
  </si>
  <si>
    <t>Miyu</t>
  </si>
  <si>
    <t>C</t>
  </si>
  <si>
    <t>Sub/ADC</t>
  </si>
  <si>
    <t>Giuliano Nikola Huanca Verduguez</t>
  </si>
  <si>
    <t xml:space="preserve">NXT NIOXI </t>
  </si>
  <si>
    <t>SUP</t>
  </si>
  <si>
    <t>Juan Jose Torrez</t>
  </si>
  <si>
    <t>alanwalker15</t>
  </si>
  <si>
    <t>Revisar</t>
  </si>
  <si>
    <t>Hacer seguimiento</t>
  </si>
  <si>
    <t>Cuenta del Sup no existe</t>
  </si>
  <si>
    <t>Pachonk#LAS</t>
  </si>
  <si>
    <t>Sub/Mid</t>
  </si>
  <si>
    <t xml:space="preserve">Vicente Oscar Claros Mamani </t>
  </si>
  <si>
    <t>Proometeousx #LAS</t>
  </si>
  <si>
    <t>https://op.gg/es/lol/summoners/las/Proometeousx-LAS</t>
  </si>
  <si>
    <t>proometeous</t>
  </si>
  <si>
    <t>Jhoan Rivaldo Mollo Vega</t>
  </si>
  <si>
    <t>ElMosho7u7r#las / Viegod y 4 malos#Las</t>
  </si>
  <si>
    <t>https://www.leagueofgraphs.com/summoner/las/ElMosho7u7r-LAS</t>
  </si>
  <si>
    <t>Jhoan597xd</t>
  </si>
  <si>
    <t>Sub/Sup</t>
  </si>
  <si>
    <t>Amilkar Galindo Sánchez</t>
  </si>
  <si>
    <t>Cora #LAN1</t>
  </si>
  <si>
    <t>https://op.gg/es/lol/summoners/lan/Yuli-TPA</t>
  </si>
  <si>
    <t>am_am_amm</t>
  </si>
  <si>
    <t xml:space="preserve">https://op.gg/es/lol/summoners/na/LifesSweetDrugs-NA1 </t>
  </si>
  <si>
    <t>afroa</t>
  </si>
  <si>
    <t xml:space="preserve">https://op.gg/es/lol/summoners/lan/The%20Lucky%20One-2401 </t>
  </si>
  <si>
    <t>Sub/Top/Adc/Jg</t>
  </si>
  <si>
    <t xml:space="preserve">Hugo Mitre G2 </t>
  </si>
  <si>
    <t xml:space="preserve">NainPolonia#LAS </t>
  </si>
  <si>
    <t xml:space="preserve">https://op.gg/es/lol/summoners/las/G2%20NainPolonia-LAS </t>
  </si>
  <si>
    <t>Galy Hernan Herrera Huaranca</t>
  </si>
  <si>
    <t>emma watsoNN#LAS</t>
  </si>
  <si>
    <t xml:space="preserve">Luis Enrique Melgarejo  </t>
  </si>
  <si>
    <t>Not a Scripter#G2LAS</t>
  </si>
  <si>
    <t>https://op.gg/es/lol/summoners/las/Not%20a%20Scripter-G2LAS</t>
  </si>
  <si>
    <t>lawns#LAS</t>
  </si>
  <si>
    <t>https://op.gg/es/lol/summoners/las/lawns-LAS</t>
  </si>
  <si>
    <t>Sub/Supp/Mid</t>
  </si>
  <si>
    <t>Eiverth Abel León Balderrama</t>
  </si>
  <si>
    <t>XXDeathlionXX #LAS</t>
  </si>
  <si>
    <t>Adan Alberto Llanos Zela</t>
  </si>
  <si>
    <t>kurivo#LAS</t>
  </si>
  <si>
    <t>adanllanos</t>
  </si>
  <si>
    <t>Narvik Cristian Ledezma Torrejon</t>
  </si>
  <si>
    <t>Jagerfly N#LAN</t>
  </si>
  <si>
    <t>https://op.gg/es/lol/summoners/las/%20Jagerfly%20N-LAN</t>
  </si>
  <si>
    <t>Jagerfly N</t>
  </si>
  <si>
    <t xml:space="preserve"> jhon kevin vargas caprirolo</t>
  </si>
  <si>
    <t>EurynØmuS #LAS</t>
  </si>
  <si>
    <t>eurynomuss23</t>
  </si>
  <si>
    <t>Sub/Sup/Jg</t>
  </si>
  <si>
    <t>John Frederick Diaz Merida</t>
  </si>
  <si>
    <t>Un Traidor #LAS</t>
  </si>
  <si>
    <t>taquito7345</t>
  </si>
  <si>
    <t>Edwin Benajim Villarroel Gonzalez</t>
  </si>
  <si>
    <t>ZeroFortuna#XXX</t>
  </si>
  <si>
    <t>https://op.gg/es/lol/summoners/las/ZeroFortuna-XXX</t>
  </si>
  <si>
    <t>Santa Cruz</t>
  </si>
  <si>
    <t>Sub/Comodin</t>
  </si>
  <si>
    <t>Percy Rolando Limachi Mamani</t>
  </si>
  <si>
    <t>SKP DeaD PooL#las</t>
  </si>
  <si>
    <t>Jersson Giovanny Zampieri Sanchez</t>
  </si>
  <si>
    <t>Montielsm#LAS</t>
  </si>
  <si>
    <t>https://op.gg/es/lol/summoners/las/Montielsm-LAS</t>
  </si>
  <si>
    <t>Cesar Alberti Maldonado</t>
  </si>
  <si>
    <t>Cextribe#LAS</t>
  </si>
  <si>
    <t>https://op.gg/es/lol/summoners/las/Cextribe-LAS</t>
  </si>
  <si>
    <t xml:space="preserve">SANTIAGO SEVERICH </t>
  </si>
  <si>
    <t>SG Hawk #Las</t>
  </si>
  <si>
    <t>Pedir Datos</t>
  </si>
  <si>
    <t>XMvl#LAS</t>
  </si>
  <si>
    <t>Josué Apaza</t>
  </si>
  <si>
    <t>PROYECTO DWG KIA#LAS</t>
  </si>
  <si>
    <t>https://op.gg/es/lol/summoners/las/PR0YECT0%20DWG%20KIA-LAS</t>
  </si>
  <si>
    <t>Adrian Leonardo Botello Arana</t>
  </si>
  <si>
    <t>Buenazoprime #202</t>
  </si>
  <si>
    <t>1254930251952422923</t>
  </si>
  <si>
    <t>Gustavo Andres Moriva Vino</t>
  </si>
  <si>
    <t>el misosaurio#LAS</t>
  </si>
  <si>
    <t>https://op.gg/es/lol/summoners/las/el%20misosaurio%20-LAS</t>
  </si>
  <si>
    <t>Gabriela Ponce</t>
  </si>
  <si>
    <t>Raven Queen#Mishi</t>
  </si>
  <si>
    <t>https://op.gg/es/lol/summoners/lan/Raven%20Queen-Mishi</t>
  </si>
  <si>
    <t>Gabriel Bautizta Prado</t>
  </si>
  <si>
    <t>Revolt#LAN</t>
  </si>
  <si>
    <t>https://op.gg/es/lol/summoners/lan/Revolt-LAN</t>
  </si>
  <si>
    <t>LP</t>
  </si>
  <si>
    <t>Shadow Garden</t>
  </si>
  <si>
    <t>SG</t>
  </si>
  <si>
    <t>Lourdes Janeth flores Fernández</t>
  </si>
  <si>
    <t>hitomi#77205</t>
  </si>
  <si>
    <t>Sub/Mid/Top</t>
  </si>
  <si>
    <t>Daniel Castillo</t>
  </si>
  <si>
    <t>Dassking #owo</t>
  </si>
  <si>
    <t>DEIMON#7861</t>
  </si>
  <si>
    <t>597637841773658135</t>
  </si>
  <si>
    <t>DILAN#xxx</t>
  </si>
  <si>
    <t>Pedir datos</t>
  </si>
  <si>
    <t>let_mi_goo</t>
  </si>
  <si>
    <t>santos159</t>
  </si>
  <si>
    <t>Zahevos</t>
  </si>
  <si>
    <t>killer_2531</t>
  </si>
  <si>
    <t>hhhhhhhhhhhhhhhhhhh_52353</t>
  </si>
  <si>
    <t>Jhamil fares ayala</t>
  </si>
  <si>
    <t>forést v2</t>
  </si>
  <si>
    <t>Rodrigo Rafael Callau Choque</t>
  </si>
  <si>
    <t>Bluee Rexx#rexxx</t>
  </si>
  <si>
    <t>https://op.gg/es/lol/summoners/lan/Rxz-Rexxx</t>
  </si>
  <si>
    <t>blueerexx</t>
  </si>
  <si>
    <t>Marco Israel Canaza Manrique</t>
  </si>
  <si>
    <t>Aazrael #MALAK</t>
  </si>
  <si>
    <t>A A Z R A E L</t>
  </si>
  <si>
    <t>Sub/Sup/Mid</t>
  </si>
  <si>
    <t>Stiven Russo Apaza Sandoval</t>
  </si>
  <si>
    <t>ACM1PTXDUWU#LAS</t>
  </si>
  <si>
    <t>Sub/Mid/Sup</t>
  </si>
  <si>
    <t>Paul Alejandro Villca</t>
  </si>
  <si>
    <t>Sanspolexe⁩#⁦3332</t>
  </si>
  <si>
    <t>https://op.gg/es/lol/summoners/las/Sanspolexe-3332</t>
  </si>
  <si>
    <t>Sub/Mid/Top/Sup</t>
  </si>
  <si>
    <t>Jheris Gonzales</t>
  </si>
  <si>
    <t>LAP SuS original#LAS</t>
  </si>
  <si>
    <t>https://op.gg/es/lol/summoners/las/Showgunt-Avion</t>
  </si>
  <si>
    <t>Sub/Mid/Jg/Sup/Top</t>
  </si>
  <si>
    <t>Adrian Huaranca</t>
  </si>
  <si>
    <t>LAP BacArdi06#LAS</t>
  </si>
  <si>
    <t>https://op.gg/es/lol/summoners/las/LAP%20BacArdi06-LAS</t>
  </si>
  <si>
    <t>pedir datos</t>
  </si>
  <si>
    <t>T1 BANG LAS</t>
  </si>
  <si>
    <t xml:space="preserve">Fernando Salinas </t>
  </si>
  <si>
    <t>Ferchu62 #LAS</t>
  </si>
  <si>
    <t>Carlos Lorenzo Callisaya Sangalli</t>
  </si>
  <si>
    <t>Panda128#xdd</t>
  </si>
  <si>
    <t>Franco Tomayo</t>
  </si>
  <si>
    <t>ArtEnd #23025</t>
  </si>
  <si>
    <t>Boris Villarroel</t>
  </si>
  <si>
    <t>Legolas#2807</t>
  </si>
  <si>
    <t>MVLAJ #LAS</t>
  </si>
  <si>
    <t>Estif Marguay Mamami</t>
  </si>
  <si>
    <t>Lp</t>
  </si>
  <si>
    <t>Tumbas5972628</t>
  </si>
  <si>
    <t>Sub/Top/Sup</t>
  </si>
  <si>
    <t>Ricardo Amonzabel Torrico</t>
  </si>
  <si>
    <t>AQS YharonGod #LAS</t>
  </si>
  <si>
    <t>https://op.gg/es/lol/summoners/las/DanoVan1113-LAS</t>
  </si>
  <si>
    <t>Sub/Mid/Sup/Top</t>
  </si>
  <si>
    <t>Alvaro Luis Carlos Del Carpio Blanco</t>
  </si>
  <si>
    <t>MataMaracos1234#7644</t>
  </si>
  <si>
    <t>Flurry_Kayn443969231</t>
  </si>
  <si>
    <t>Daniel Alejandro Flores Bautista</t>
  </si>
  <si>
    <t>DanoVan1113 #LAS</t>
  </si>
  <si>
    <t xml:space="preserve">https://op.gg/es/lol/summoners/las/AQS%20YharonGod-LAS </t>
  </si>
  <si>
    <t>faundaso18</t>
  </si>
  <si>
    <t>Sub/Adc</t>
  </si>
  <si>
    <t>Jhos Luis Mamani Alanoca</t>
  </si>
  <si>
    <t>YourGame #JHOS</t>
  </si>
  <si>
    <t>YourGame00</t>
  </si>
  <si>
    <t>Jhos Luis</t>
  </si>
  <si>
    <t>PTG</t>
  </si>
  <si>
    <t>bezzk/bezz</t>
  </si>
  <si>
    <t>Zaid Hernan Choque Mamani</t>
  </si>
  <si>
    <t>Sub/Jg</t>
  </si>
  <si>
    <t xml:space="preserve">Mauricio choque </t>
  </si>
  <si>
    <t>peluche kim #kim</t>
  </si>
  <si>
    <t>peluchekim</t>
  </si>
  <si>
    <t>Pedir datos de suplentes</t>
  </si>
  <si>
    <t>AndruZT#LAS</t>
  </si>
  <si>
    <t>NUEVO CAPITAN</t>
  </si>
  <si>
    <t>Blas Brian limos</t>
  </si>
  <si>
    <t>BLASSKEYLOR#LAS</t>
  </si>
  <si>
    <t>https://tracker.gg/lol/profile/riot/BLASSKEYLOR1%23LAS/</t>
  </si>
  <si>
    <t>Sebastian Andrade</t>
  </si>
  <si>
    <t>Yummi sin ropa #AFK</t>
  </si>
  <si>
    <t>Seb005#2970</t>
  </si>
  <si>
    <t>Luis Morales</t>
  </si>
  <si>
    <t xml:space="preserve"> neji54#LAS</t>
  </si>
  <si>
    <t>https://tracker.gg/lol/profile/riot/Neji54%23LAS/</t>
  </si>
  <si>
    <t>Ch</t>
  </si>
  <si>
    <t>Gabriel Alejandro Zeballos Torrico</t>
  </si>
  <si>
    <t>occhiraku#2881</t>
  </si>
  <si>
    <t>Eduardo</t>
  </si>
  <si>
    <t>Zedso #BOL</t>
  </si>
  <si>
    <t>https://op.gg/es/lol/summoners/las/Zedso-BOL</t>
  </si>
  <si>
    <t>@𝔼𝕕𝕦𝕊𝕠𝕗𝕥 🍃#0896</t>
  </si>
  <si>
    <t>Leonardo Junior Nina Loaiza</t>
  </si>
  <si>
    <t>Cristin07#LAS</t>
  </si>
  <si>
    <t>Alejandro Huarachi</t>
  </si>
  <si>
    <t>alekane#LAS</t>
  </si>
  <si>
    <t>alejandrorod_</t>
  </si>
  <si>
    <t>Alejandro Rodriguez</t>
  </si>
  <si>
    <t>ZeroRdz#LAS</t>
  </si>
  <si>
    <t>Sub/Sup/Jg/Mid</t>
  </si>
  <si>
    <t>FOcus al adc⁩#⁦ptes</t>
  </si>
  <si>
    <t>Sub/Sup/Adc</t>
  </si>
  <si>
    <t>Manuel Fernando Rada Arias</t>
  </si>
  <si>
    <t>DCG Radis #PTS</t>
  </si>
  <si>
    <t>Inty Daniel Webster Guzman</t>
  </si>
  <si>
    <t>DaniWebster #NA1</t>
  </si>
  <si>
    <t>https://op.gg/lol/summoners/las/DaniWebster-NA1</t>
  </si>
  <si>
    <t>DaniWebster#981</t>
  </si>
  <si>
    <t>Nixlag#lol</t>
  </si>
  <si>
    <t>Camilo Gabriel Jaldin Coca</t>
  </si>
  <si>
    <t>11n011NL#5021</t>
  </si>
  <si>
    <t>pacman#8113</t>
  </si>
  <si>
    <t>Billy Patton Avalos</t>
  </si>
  <si>
    <t>R2 IoIoIexo #LLLX</t>
  </si>
  <si>
    <t>Khalil Arab Núñez</t>
  </si>
  <si>
    <t>R2 Arab #4113</t>
  </si>
  <si>
    <t>Pedir cuenta main al mid</t>
  </si>
  <si>
    <t xml:space="preserve">Wilson Rojas </t>
  </si>
  <si>
    <t>KX Impact #Lans</t>
  </si>
  <si>
    <t xml:space="preserve">Uc Nadia #las </t>
  </si>
  <si>
    <t>Fenrir</t>
  </si>
  <si>
    <t>Joel Johannes Zuñiga Aguayo</t>
  </si>
  <si>
    <t>KX Haoran #China</t>
  </si>
  <si>
    <t>Joel Quelca</t>
  </si>
  <si>
    <t>YoSoyJoe#8044</t>
  </si>
  <si>
    <t>Sub/Jg/Sup</t>
  </si>
  <si>
    <t xml:space="preserve">Miguel machaca </t>
  </si>
  <si>
    <t>mickey300#LAS</t>
  </si>
  <si>
    <t>https://www.leagueofgraphs.com/es/summoner/lan/SimpSOSA-LAN</t>
  </si>
  <si>
    <t>simpsosa.</t>
  </si>
  <si>
    <t>Marcos Alexander</t>
  </si>
  <si>
    <t>Duro⁩#⁦BOL⁩</t>
  </si>
  <si>
    <t>Keria⁩#⁦KRR</t>
  </si>
  <si>
    <t>mark087389</t>
  </si>
  <si>
    <t>Daniel Tacaza</t>
  </si>
  <si>
    <t>Dassking#owo</t>
  </si>
  <si>
    <t>https://op.gg/lol/summoners/las/DASSKING-OWO</t>
  </si>
  <si>
    <t>Erick Gonzales</t>
  </si>
  <si>
    <t>A1zz#tkcha</t>
  </si>
  <si>
    <t>https://op.gg/es/lol/summoners/las/A1zz-tkcha</t>
  </si>
  <si>
    <t>Leandro Angel Jimenez</t>
  </si>
  <si>
    <t>Anjhelo7727#LAS</t>
  </si>
  <si>
    <t>Nelson blanco</t>
  </si>
  <si>
    <t>NEROKNIGHT#9917</t>
  </si>
  <si>
    <t>https://op.gg/lol/summoners/las/NEROKNIGHT-9917</t>
  </si>
  <si>
    <t>panconqueso4090</t>
  </si>
  <si>
    <t>Sub/Sup/Top</t>
  </si>
  <si>
    <t xml:space="preserve">Jesús Eduardo zeballos isita </t>
  </si>
  <si>
    <t>lboy8v #LAS</t>
  </si>
  <si>
    <t>https://op.gg/es/lol/summoners/lan/VTX-LUCI</t>
  </si>
  <si>
    <t>ESMERALDA3/PLATA 1</t>
  </si>
  <si>
    <t>SHADOW_J#0754</t>
  </si>
  <si>
    <t xml:space="preserve">Jose Gabriel Chuquimia </t>
  </si>
  <si>
    <t>chup chup #LAS</t>
  </si>
  <si>
    <t>https://op.gg/lol/summoners/lan/Chulux-712</t>
  </si>
  <si>
    <t>Chulux#chulux</t>
  </si>
  <si>
    <t>Zeus Kaled Tarifa Molina</t>
  </si>
  <si>
    <t>ZeusKaled#Las</t>
  </si>
  <si>
    <t>https://www.leagueofgraphs.com/es/summoner/las/ZeusKaled+-Las</t>
  </si>
  <si>
    <t>314847165975363594</t>
  </si>
  <si>
    <t>Miguel angel ramirez</t>
  </si>
  <si>
    <t>https://www.leagueofgraphs.com/es/summoner/las/Minsdestroyers-666</t>
  </si>
  <si>
    <t>417375236506386434</t>
  </si>
  <si>
    <t>Rsannin#LAS</t>
  </si>
  <si>
    <t>https://www.leagueofgraphs.com/summoner/lan/ayrtonk12-2512</t>
  </si>
  <si>
    <r>
      <rPr>
        <rFont val="Arial"/>
        <b/>
        <strike/>
        <color theme="1"/>
      </rPr>
      <t>Jg</t>
    </r>
    <r>
      <rPr>
        <rFont val="Arial"/>
        <b/>
        <color theme="1"/>
      </rPr>
      <t xml:space="preserve"> - Mid</t>
    </r>
  </si>
  <si>
    <t>https://www.leagueofgraphs.com/summoner/lan/lobsang456-LAN</t>
  </si>
  <si>
    <r>
      <rPr>
        <rFont val="Arial"/>
        <b/>
        <strike/>
        <color theme="1"/>
      </rPr>
      <t>Mid</t>
    </r>
    <r>
      <rPr>
        <rFont val="Arial"/>
        <b/>
        <color theme="1"/>
      </rPr>
      <t xml:space="preserve"> - Sub</t>
    </r>
  </si>
  <si>
    <t>https://www.leagueofgraphs.com/summoner/lan/chocozx-LAN</t>
  </si>
  <si>
    <t>https://www.leagueofgraphs.com/summoner/lan/Jeche-flscn</t>
  </si>
  <si>
    <t>Bubba Kúsh#LAS</t>
  </si>
  <si>
    <t>https://www.leagueofgraphs.com/summoner/lan/Bubb%C3%A1%20Kush-LAN</t>
  </si>
  <si>
    <t>⁦CiclistaSinLicen⁩#⁦LAS⁩</t>
  </si>
  <si>
    <t>Sub/Adc/Mid</t>
  </si>
  <si>
    <t xml:space="preserve">Tyler James Wilson Rios </t>
  </si>
  <si>
    <t>BolivianDev#2121</t>
  </si>
  <si>
    <t>Bolivianboi</t>
  </si>
  <si>
    <r>
      <rPr>
        <rFont val="Arial"/>
        <b/>
        <strike/>
        <color theme="1"/>
      </rPr>
      <t>Sub</t>
    </r>
    <r>
      <rPr>
        <rFont val="Arial"/>
        <b/>
        <color theme="1"/>
      </rPr>
      <t xml:space="preserve"> - Jg</t>
    </r>
  </si>
  <si>
    <t>Jose Maria Cossio Baptista</t>
  </si>
  <si>
    <t>Kodssio#Kod</t>
  </si>
  <si>
    <t>kod#Kodssio(1161)</t>
  </si>
  <si>
    <t xml:space="preserve">miguel delgado padilla </t>
  </si>
  <si>
    <t>GF Roda#LAS</t>
  </si>
  <si>
    <t>https://op.gg/es/lol/summoners/lan/Rikichin-LAN</t>
  </si>
  <si>
    <t>Rikichin1</t>
  </si>
  <si>
    <t>gustavo miranda</t>
  </si>
  <si>
    <t>https://op.gg/es/lol/summoners/lan/Auggus-LAN</t>
  </si>
  <si>
    <t>Alexander Ala Cruz</t>
  </si>
  <si>
    <t>ØH Lee Shet#LAS</t>
  </si>
  <si>
    <t>https://op.gg/es/lol/summoners/lan/Holeeshet-9099</t>
  </si>
  <si>
    <t>theboomFL#8619</t>
  </si>
  <si>
    <t>Jose carlos Alberto Muller Lopez</t>
  </si>
  <si>
    <t>Miler xD#LAS</t>
  </si>
  <si>
    <t>https://op.gg/es/lol/summoners/las/MILER%20xD-LAS</t>
  </si>
  <si>
    <t>SC</t>
  </si>
  <si>
    <t xml:space="preserve">ANDRES SALAZAR DELGADILLO </t>
  </si>
  <si>
    <t>DR DirtyPorky#LAS</t>
  </si>
  <si>
    <t>https://op.gg/es/lol/summoners/las/DR%20DirtyPorky-LAS</t>
  </si>
  <si>
    <t>dirtyyzzz</t>
  </si>
  <si>
    <t>PARCHE</t>
  </si>
  <si>
    <t>Cristian Salazar Zubieta</t>
  </si>
  <si>
    <t>xIsshin Ashina#LAS</t>
  </si>
  <si>
    <t>https://op.gg/lol/summoners/lan/CSZkiller-LAN</t>
  </si>
  <si>
    <t>CSZkiller#1003</t>
  </si>
  <si>
    <t>Agentes Libres 1</t>
  </si>
  <si>
    <t>Furia Nocturna</t>
  </si>
  <si>
    <t>AL2</t>
  </si>
  <si>
    <t>Cancelado</t>
  </si>
  <si>
    <t>Roberto Paz</t>
  </si>
  <si>
    <t>Fluffy #JKR</t>
  </si>
  <si>
    <t>robertopaz.98</t>
  </si>
  <si>
    <t>Colque deymar rocha</t>
  </si>
  <si>
    <t>Apolocrhis #LOCO</t>
  </si>
  <si>
    <t>ojo3040</t>
  </si>
  <si>
    <t>Luis Adriel Yujra Mamani</t>
  </si>
  <si>
    <t>Namish#3000</t>
  </si>
  <si>
    <t>https://op.gg/es/lol/summoners/lan/gerki456-LAN</t>
  </si>
  <si>
    <t>yassuo7110.</t>
  </si>
  <si>
    <t xml:space="preserve">Rodrigo Ernesto Sanchez Montaño </t>
  </si>
  <si>
    <t>Sarabi7#sr7</t>
  </si>
  <si>
    <t>Sarabi713</t>
  </si>
  <si>
    <t xml:space="preserve">Brayan Colque Nuñez </t>
  </si>
  <si>
    <t>brayayin#LAS</t>
  </si>
  <si>
    <t>https://op.gg/es/lol/summoners/lan/%20You%20Yellow-LAN</t>
  </si>
  <si>
    <t>Brayayin</t>
  </si>
  <si>
    <t>Alejandro Misericordia Velarde</t>
  </si>
  <si>
    <t>RTX 4090#4000</t>
  </si>
  <si>
    <t>https://op.gg/es/lol/summoners/las/RTX%204090-4000</t>
  </si>
  <si>
    <t>asus_rtx</t>
  </si>
  <si>
    <t>andres salazar delgadillo</t>
  </si>
  <si>
    <t>dr dirtyporky#las</t>
  </si>
  <si>
    <t>https://op.gg/es/lol/summoners/lan/dirtyporky-porky</t>
  </si>
  <si>
    <t xml:space="preserve">Israel Alessandro Castro Arteaga </t>
  </si>
  <si>
    <t>CiclistaSinLicen#LAS</t>
  </si>
  <si>
    <t>Kirito123654 #0116</t>
  </si>
  <si>
    <t>Ronal Gutiérrez Chambi</t>
  </si>
  <si>
    <t>Christian Brunn#LAS</t>
  </si>
  <si>
    <t>https://op.gg/es/lol/summoners/lan/Sendo7-LAN</t>
  </si>
  <si>
    <t>ronalgutierrez</t>
  </si>
  <si>
    <t xml:space="preserve">Juan Carlos lupinta carrasco </t>
  </si>
  <si>
    <t>wolf123asd#LAS</t>
  </si>
  <si>
    <t>wolf12345</t>
  </si>
  <si>
    <t>Juan Carlos</t>
  </si>
  <si>
    <t>Aku#BOG</t>
  </si>
  <si>
    <t>Smash#BoG</t>
  </si>
  <si>
    <t>Aku_bog</t>
  </si>
  <si>
    <t>Velocito Gaming</t>
  </si>
  <si>
    <t>VG</t>
  </si>
  <si>
    <t>Swift Soul Reborn</t>
  </si>
  <si>
    <t xml:space="preserve">SSR </t>
  </si>
  <si>
    <t xml:space="preserve">Renato Zelada Aranibar </t>
  </si>
  <si>
    <t>Natozito</t>
  </si>
  <si>
    <t>7931841cb</t>
  </si>
  <si>
    <t xml:space="preserve">Luis Styf Quispe Ramírez </t>
  </si>
  <si>
    <t>NadAndOxD#LAS</t>
  </si>
  <si>
    <t>nadandoxd</t>
  </si>
  <si>
    <t>Jorge Jarro</t>
  </si>
  <si>
    <t>Miko#JMxTK</t>
  </si>
  <si>
    <t>https://op.gg/lol/summoners/lan/Monstercalamiti-LAN</t>
  </si>
  <si>
    <t>monachinawebo2126</t>
  </si>
  <si>
    <t>Requiere correcion JG</t>
  </si>
  <si>
    <t xml:space="preserve">Fabricio Sebastián Sánchez Toledo </t>
  </si>
  <si>
    <t>FAZANeldelosXD#LAS</t>
  </si>
  <si>
    <t>fazanxdd</t>
  </si>
  <si>
    <t xml:space="preserve">Victor Roberto Huanca Ortega </t>
  </si>
  <si>
    <t>Sweed Dreams#LAN</t>
  </si>
  <si>
    <t>https://op.gg/lol/summoners/lan/Sweed%20Dreams-LAN</t>
  </si>
  <si>
    <t>Pepe12345</t>
  </si>
  <si>
    <t xml:space="preserve">Dylan Josue Andrade Salinas </t>
  </si>
  <si>
    <t>GORDO TÁCTICO #TFT</t>
  </si>
  <si>
    <t>Xtarssus</t>
  </si>
  <si>
    <t>Rainer Clever Quiroga Tarqui</t>
  </si>
  <si>
    <t>Clainer4 #LAS</t>
  </si>
  <si>
    <t>Clainer4</t>
  </si>
  <si>
    <t>Juan Calani</t>
  </si>
  <si>
    <t>Rekklead#LAS</t>
  </si>
  <si>
    <t>Registrado tarde, pierden baneos</t>
  </si>
  <si>
    <t xml:space="preserve">Gabriel Sebastián Manzano Montalvo </t>
  </si>
  <si>
    <t>Acuariusangel#LAS</t>
  </si>
  <si>
    <t>Acuariusangel</t>
  </si>
  <si>
    <t>Mauricio Morales</t>
  </si>
  <si>
    <t>Razgriz#LAS</t>
  </si>
  <si>
    <t>Vladimir Palomino Cori</t>
  </si>
  <si>
    <t>vladileague #LAS</t>
  </si>
  <si>
    <t>Vladimir p</t>
  </si>
  <si>
    <t>Natozito #adc</t>
  </si>
  <si>
    <t xml:space="preserve">Ignacio Adolfo Conde Lima </t>
  </si>
  <si>
    <t>ChemitaCore#1111</t>
  </si>
  <si>
    <t>Chemita</t>
  </si>
  <si>
    <t xml:space="preserve">Rafael Llusco Amaro </t>
  </si>
  <si>
    <t>Darksoul #cuern</t>
  </si>
  <si>
    <t>Darksoul</t>
  </si>
  <si>
    <t>INFERNAL DRAKES</t>
  </si>
  <si>
    <t>IDR</t>
  </si>
  <si>
    <t xml:space="preserve">Eddy Oliver Mayta Aguilar </t>
  </si>
  <si>
    <t xml:space="preserve">EDDYXG #LAS </t>
  </si>
  <si>
    <t>eddyxg</t>
  </si>
  <si>
    <t xml:space="preserve">Lucas Mateo Añez Ramallo </t>
  </si>
  <si>
    <t>LeeSinOjos#8535</t>
  </si>
  <si>
    <t>tu_tio124</t>
  </si>
  <si>
    <t>Alejandro Lopez Torrez</t>
  </si>
  <si>
    <t>ImTheFâst#ADC</t>
  </si>
  <si>
    <t>_fasty_</t>
  </si>
  <si>
    <t xml:space="preserve">Carlos Eduardo Callisaya Breton </t>
  </si>
  <si>
    <t>angelDEAD158#2006</t>
  </si>
  <si>
    <t>angelDEAD159#1485</t>
  </si>
  <si>
    <t>Esther Georgina Mamani Copana</t>
  </si>
  <si>
    <t>Yhor#BANG</t>
  </si>
  <si>
    <t>Yina05819</t>
  </si>
  <si>
    <t>Juan Pablo miranda</t>
  </si>
  <si>
    <t>Keith Nash#Las</t>
  </si>
  <si>
    <t>sweetplea</t>
  </si>
  <si>
    <t>Nicol</t>
  </si>
  <si>
    <t>GoldenStars#ROSE</t>
  </si>
  <si>
    <t>goldenstars_lol</t>
  </si>
  <si>
    <t>Ivan Mancilla</t>
  </si>
  <si>
    <t>El Shori LAS #LAS</t>
  </si>
  <si>
    <t>https://op.gg/es/lol/summoners/lan/3r%C3%84-LAN</t>
  </si>
  <si>
    <t>shoricin</t>
  </si>
  <si>
    <t>johntuis</t>
  </si>
  <si>
    <t>Sub/Jg/Top</t>
  </si>
  <si>
    <t>Iván Edson Alarcón Camacho</t>
  </si>
  <si>
    <t>TFB Messi #1037</t>
  </si>
  <si>
    <t>DeminBalor#CTG</t>
  </si>
  <si>
    <t>https://op.gg/es/lol/summoners/lan/EN1GMA-LAN</t>
  </si>
  <si>
    <t>Haku#Dey</t>
  </si>
  <si>
    <t>https://op.gg/es/lol/summoners/las/Haku-Dey</t>
  </si>
  <si>
    <t>Shaquito2024#las/VP Ak1Ra#LAS</t>
  </si>
  <si>
    <t>https://op.gg/lol/summoners/lan/Ak1R%C3%A1-LAN</t>
  </si>
  <si>
    <t>Sub/Mid/Top/Jg</t>
  </si>
  <si>
    <t>Víctor Hugo Hilari</t>
  </si>
  <si>
    <t>Yiratin#las</t>
  </si>
  <si>
    <t>Sub/Adc/Sup/Mid</t>
  </si>
  <si>
    <t xml:space="preserve">Octavio Quispe Choquehuanca </t>
  </si>
  <si>
    <t>Ariyelen#Las</t>
  </si>
  <si>
    <t>Hora</t>
  </si>
  <si>
    <t>Game</t>
  </si>
  <si>
    <t>Equipo 1</t>
  </si>
  <si>
    <t>Tag</t>
  </si>
  <si>
    <t>Equipo 2</t>
  </si>
  <si>
    <t>Modificado</t>
  </si>
  <si>
    <t>JUEVES</t>
  </si>
  <si>
    <t>LBL Esports</t>
  </si>
  <si>
    <t>Lunes/Feriado</t>
  </si>
  <si>
    <t>Aleatorio</t>
  </si>
  <si>
    <t>19 00</t>
  </si>
  <si>
    <t>L105</t>
  </si>
  <si>
    <t>Ganador L102</t>
  </si>
  <si>
    <t>VS</t>
  </si>
  <si>
    <t>Bo3</t>
  </si>
  <si>
    <t>21 00</t>
  </si>
  <si>
    <t>L106</t>
  </si>
  <si>
    <t>Ganador L101</t>
  </si>
  <si>
    <t>KXE/POG</t>
  </si>
  <si>
    <t xml:space="preserve">Revelation Gaming
</t>
  </si>
  <si>
    <t>L101</t>
  </si>
  <si>
    <t xml:space="preserve">Kaox Blue
</t>
  </si>
  <si>
    <t>KXB</t>
  </si>
  <si>
    <t>POG</t>
  </si>
  <si>
    <t>Hora por definir</t>
  </si>
  <si>
    <t>elDarkcito</t>
  </si>
  <si>
    <t>Martes</t>
  </si>
  <si>
    <t>L100</t>
  </si>
  <si>
    <t>TikTok</t>
  </si>
  <si>
    <t>Miercoles</t>
  </si>
  <si>
    <t>L102</t>
  </si>
  <si>
    <t>Lunatic eSports</t>
  </si>
  <si>
    <t>VIERNES</t>
  </si>
  <si>
    <t>L107</t>
  </si>
  <si>
    <t>Ganador L105</t>
  </si>
  <si>
    <t>Ganador L106</t>
  </si>
  <si>
    <t>Bo5</t>
  </si>
  <si>
    <t>LBL Esports/elDarkcito</t>
  </si>
  <si>
    <t>W108</t>
  </si>
  <si>
    <t>Lyons Gaming</t>
  </si>
  <si>
    <t>Ataraxia Gaming</t>
  </si>
  <si>
    <t>SABADO</t>
  </si>
  <si>
    <t>18 00</t>
  </si>
  <si>
    <t>FL109</t>
  </si>
  <si>
    <t>Ganador L107</t>
  </si>
  <si>
    <t>RPG/KXB/RVG</t>
  </si>
  <si>
    <t>LYG/ATX</t>
  </si>
  <si>
    <t>Perdedor W108</t>
  </si>
  <si>
    <t>20 00</t>
  </si>
  <si>
    <t>DOMINGO</t>
  </si>
  <si>
    <t>15 00</t>
  </si>
  <si>
    <t>F110</t>
  </si>
  <si>
    <t>Ganador W108</t>
  </si>
  <si>
    <t>Ganador L109</t>
  </si>
  <si>
    <t>17 00</t>
  </si>
  <si>
    <t>23 00</t>
  </si>
  <si>
    <t>Domingo</t>
  </si>
  <si>
    <t>LES/MDA/IMG</t>
  </si>
  <si>
    <t>Michis</t>
  </si>
  <si>
    <t>Viktus</t>
  </si>
  <si>
    <t xml:space="preserve">LYONS </t>
  </si>
  <si>
    <t>ROAR OMEGA ROAR</t>
  </si>
  <si>
    <t xml:space="preserve">JAGUAR GAMING </t>
  </si>
  <si>
    <t xml:space="preserve">Rise of Kings Order </t>
  </si>
  <si>
    <t>Kaox BLUE</t>
  </si>
  <si>
    <t>Los Anti loPez</t>
  </si>
  <si>
    <t>Cuartos de Final</t>
  </si>
  <si>
    <t>W93</t>
  </si>
  <si>
    <t>WO</t>
  </si>
  <si>
    <t>Jueves - Cuartos de Final de Winner Bracket</t>
  </si>
  <si>
    <t>Semis WB</t>
  </si>
  <si>
    <t>Viernes - Loser Bracket</t>
  </si>
  <si>
    <t>W103</t>
  </si>
  <si>
    <t>W94</t>
  </si>
  <si>
    <t>Sabado - Cuartos de LB</t>
  </si>
  <si>
    <t>D 2</t>
  </si>
  <si>
    <t>Domingo - Semifinal WB y Doble Tanda Semis LB</t>
  </si>
  <si>
    <t>La cuestión está en su disponibilidad horaria.</t>
  </si>
  <si>
    <t>Final WB</t>
  </si>
  <si>
    <t>Luego la siguiente semana</t>
  </si>
  <si>
    <t>Finalista WB</t>
  </si>
  <si>
    <t>W95</t>
  </si>
  <si>
    <t>Jueves - Final WB</t>
  </si>
  <si>
    <t>V 7</t>
  </si>
  <si>
    <t>KXY</t>
  </si>
  <si>
    <t>Viernes - 107 LB</t>
  </si>
  <si>
    <t>Sabado - Final LB</t>
  </si>
  <si>
    <t>W104</t>
  </si>
  <si>
    <t>Domingo 9</t>
  </si>
  <si>
    <t>W96</t>
  </si>
  <si>
    <t>Domingo - Gran Final</t>
  </si>
  <si>
    <t>Gran Final</t>
  </si>
  <si>
    <t>Viernes</t>
  </si>
  <si>
    <t>Loser Bracket</t>
  </si>
  <si>
    <t>Cuartos LB</t>
  </si>
  <si>
    <t>Doble Tanda Semis</t>
  </si>
  <si>
    <t>L90</t>
  </si>
  <si>
    <t>L99</t>
  </si>
  <si>
    <t>Los AntiloPez</t>
  </si>
  <si>
    <t>S 1</t>
  </si>
  <si>
    <t>M 5</t>
  </si>
  <si>
    <t>Ganador L100 (MDA vs IMG)</t>
  </si>
  <si>
    <t>L89</t>
  </si>
  <si>
    <t>M 4</t>
  </si>
  <si>
    <t>J 6</t>
  </si>
  <si>
    <t>Finalista LB</t>
  </si>
  <si>
    <t>L92</t>
  </si>
  <si>
    <t>L97</t>
  </si>
  <si>
    <t>Final LB</t>
  </si>
  <si>
    <t>The R7 Legends</t>
  </si>
  <si>
    <t>L 3</t>
  </si>
  <si>
    <t>L109</t>
  </si>
  <si>
    <t>S 8</t>
  </si>
  <si>
    <t>L91</t>
  </si>
  <si>
    <t>L98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</si>
</sst>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9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b/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b/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color rgb="FF434343"/>
      <name val="Roboto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</font>
    <font>
      <color rgb="FFFFFFFF"/>
      <name val="Arial"/>
      <scheme val="minor"/>
    </font>
    <font>
      <u/>
      <color rgb="FF434343"/>
      <name val="Roboto"/>
    </font>
    <font>
      <u/>
      <color rgb="FF0000FF"/>
      <name val="Arial"/>
    </font>
    <font>
      <u/>
      <color rgb="FF434343"/>
      <name val="Roboto"/>
    </font>
    <font>
      <u/>
      <color rgb="FF0000FF"/>
      <name val="Roboto"/>
    </font>
    <font>
      <u/>
      <color rgb="FF0000FF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Arial"/>
    </font>
    <font>
      <b/>
      <color theme="1"/>
      <name val="Arial"/>
    </font>
    <font>
      <color rgb="FFFFFFFF"/>
      <name val="Arial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sz val="11.0"/>
      <color rgb="FF000000"/>
      <name val="&quot;LoL Body&quot;"/>
    </font>
    <font>
      <b/>
      <color rgb="FFFFFFFF"/>
      <name val="Roboto"/>
    </font>
    <font>
      <u/>
      <color rgb="FF434343"/>
      <name val="Roboto"/>
    </font>
    <font>
      <b/>
      <u/>
      <color rgb="FF434343"/>
      <name val="Roboto"/>
    </font>
    <font>
      <b/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strike/>
      <color rgb="FF434343"/>
      <name val="Roboto"/>
    </font>
    <font>
      <strike/>
      <color rgb="FF0000FF"/>
      <name val="Roboto"/>
    </font>
    <font>
      <u/>
      <color rgb="FF434343"/>
      <name val="Roboto"/>
    </font>
    <font>
      <u/>
      <color rgb="FF434343"/>
      <name val="Roboto"/>
    </font>
    <font>
      <color theme="1"/>
      <name val="Calibri"/>
    </font>
    <font>
      <sz val="10.0"/>
      <color rgb="FFFFFFFF"/>
      <name val="Arial"/>
      <scheme val="minor"/>
    </font>
    <font>
      <color rgb="FFFFFFFF"/>
      <name val="Calibri"/>
    </font>
    <font>
      <sz val="11.0"/>
      <color theme="1"/>
      <name val="Calibri"/>
    </font>
    <font>
      <sz val="11.0"/>
      <color rgb="FFFFFFFF"/>
      <name val="Calibri"/>
    </font>
    <font>
      <sz val="10.0"/>
      <color rgb="FFFFFFFF"/>
      <name val="Calibri"/>
    </font>
    <font>
      <sz val="11.0"/>
      <color rgb="FF000000"/>
      <name val="Calibri"/>
    </font>
    <font>
      <sz val="11.0"/>
      <color rgb="FFA6A6A6"/>
      <name val="Calibri"/>
    </font>
    <font>
      <sz val="11.0"/>
      <color theme="1"/>
      <name val="Inter"/>
    </font>
    <font>
      <sz val="10.0"/>
      <color theme="1"/>
      <name val="Arial"/>
      <scheme val="minor"/>
    </font>
    <font>
      <sz val="11.0"/>
      <color rgb="FF000000"/>
      <name val="Inter"/>
    </font>
    <font>
      <sz val="10.0"/>
      <color theme="1"/>
      <name val="Calibri"/>
    </font>
  </fonts>
  <fills count="2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FF00FF"/>
        <bgColor rgb="FFFF00FF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274E13"/>
        <bgColor rgb="FF274E13"/>
      </patternFill>
    </fill>
    <fill>
      <patternFill patternType="solid">
        <fgColor rgb="FFF9CB9C"/>
        <bgColor rgb="FFF9CB9C"/>
      </patternFill>
    </fill>
    <fill>
      <patternFill patternType="solid">
        <fgColor rgb="FF5B3F86"/>
        <bgColor rgb="FF5B3F86"/>
      </patternFill>
    </fill>
    <fill>
      <patternFill patternType="solid">
        <fgColor rgb="FF000000"/>
        <bgColor rgb="FF000000"/>
      </patternFill>
    </fill>
    <fill>
      <patternFill patternType="solid">
        <fgColor rgb="FF674EA7"/>
        <bgColor rgb="FF674EA7"/>
      </patternFill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5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F8F9FA"/>
      </right>
      <top style="thin">
        <color rgb="FFF8F9FA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8F9FA"/>
      </right>
      <bottom style="thin">
        <color rgb="FFF8F9FA"/>
      </bottom>
    </border>
    <border>
      <left style="thin">
        <color rgb="FFF8F9FA"/>
      </left>
      <right style="thin">
        <color rgb="FFF8F9FA"/>
      </right>
      <bottom style="thin">
        <color rgb="FFF8F9FA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>
        <color rgb="FFEA9999"/>
      </left>
      <right style="thin">
        <color rgb="FFEA9999"/>
      </right>
      <top style="thin">
        <color rgb="FFEA9999"/>
      </top>
      <bottom style="thin">
        <color rgb="FFEA9999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E06666"/>
      </left>
      <right style="thin">
        <color rgb="FFE06666"/>
      </right>
      <top style="thin">
        <color rgb="FFE06666"/>
      </top>
      <bottom style="thin">
        <color rgb="FFE06666"/>
      </bottom>
    </border>
    <border>
      <right style="thin">
        <color rgb="FFE06666"/>
      </right>
      <top style="thin">
        <color rgb="FFE06666"/>
      </top>
      <bottom style="thin">
        <color rgb="FFE06666"/>
      </bottom>
    </border>
    <border>
      <right style="thin">
        <color rgb="FF93C47D"/>
      </right>
      <top style="thin">
        <color rgb="FF93C47D"/>
      </top>
      <bottom style="thin">
        <color rgb="FF93C47D"/>
      </bottom>
    </border>
    <border>
      <left style="thin">
        <color rgb="FF000000"/>
      </left>
      <right style="thin">
        <color rgb="FF000000"/>
      </right>
      <top style="thin">
        <color rgb="FF93C47D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6AA84F"/>
      </top>
      <bottom style="thin">
        <color rgb="FF000000"/>
      </bottom>
    </border>
    <border>
      <right style="thin">
        <color rgb="FFFF00FF"/>
      </right>
      <bottom style="thin">
        <color rgb="FFFF00FF"/>
      </bottom>
    </border>
    <border>
      <left style="thin">
        <color rgb="FFFF00FF"/>
      </left>
      <right style="thin">
        <color rgb="FFFF00FF"/>
      </right>
      <bottom style="thin">
        <color rgb="FFFF00FF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FF00FF"/>
      </left>
      <right style="thin">
        <color rgb="FFFF00FF"/>
      </right>
      <top style="thin">
        <color rgb="FFFF00FF"/>
      </top>
      <bottom style="thin">
        <color rgb="FFFF00FF"/>
      </bottom>
    </border>
    <border>
      <right style="thin">
        <color rgb="FFF8F9FA"/>
      </right>
      <top style="thin">
        <color rgb="FFF8F9FA"/>
      </top>
    </border>
    <border>
      <left style="thin">
        <color rgb="FFEAD1DC"/>
      </left>
      <right style="thin">
        <color rgb="FFEAD1DC"/>
      </right>
      <bottom style="thin">
        <color rgb="FFEAD1DC"/>
      </bottom>
    </border>
    <border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000000"/>
      </left>
      <right style="thin">
        <color rgb="FF000000"/>
      </right>
      <top style="thin">
        <color rgb="FFF8F9F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E599"/>
      </left>
      <right style="thin">
        <color rgb="FFFFE599"/>
      </right>
      <top style="thin">
        <color rgb="FFFFE599"/>
      </top>
      <bottom style="thin">
        <color rgb="FFFFE599"/>
      </bottom>
    </border>
    <border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000000"/>
      </left>
      <right style="thin">
        <color rgb="FF000000"/>
      </right>
      <top style="thin">
        <color rgb="FFFF00FF"/>
      </top>
      <bottom style="thin">
        <color rgb="FF000000"/>
      </bottom>
    </border>
    <border>
      <right style="thin">
        <color rgb="FF6AA84F"/>
      </right>
      <top style="thin">
        <color rgb="FF6AA84F"/>
      </top>
      <bottom style="thin">
        <color rgb="FF6AA84F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4" fontId="2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2" fillId="4" fontId="2" numFmtId="0" xfId="0" applyAlignment="1" applyBorder="1" applyFont="1">
      <alignment readingOrder="0" shrinkToFit="0" vertical="center" wrapText="0"/>
    </xf>
    <xf borderId="0" fillId="5" fontId="4" numFmtId="0" xfId="0" applyAlignment="1" applyFill="1" applyFont="1">
      <alignment readingOrder="0" shrinkToFit="0" vertical="center" wrapText="0"/>
    </xf>
    <xf borderId="0" fillId="5" fontId="2" numFmtId="0" xfId="0" applyAlignment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0" fillId="6" fontId="2" numFmtId="0" xfId="0" applyAlignment="1" applyFill="1" applyFont="1">
      <alignment readingOrder="0" shrinkToFit="0" vertical="center" wrapText="0"/>
    </xf>
    <xf borderId="0" fillId="7" fontId="5" numFmtId="0" xfId="0" applyAlignment="1" applyFill="1" applyFont="1">
      <alignment readingOrder="0" shrinkToFit="0" vertical="center" wrapText="0"/>
    </xf>
    <xf borderId="0" fillId="7" fontId="2" numFmtId="0" xfId="0" applyAlignment="1" applyFont="1">
      <alignment readingOrder="0" shrinkToFit="0" vertical="center" wrapText="0"/>
    </xf>
    <xf borderId="0" fillId="8" fontId="6" numFmtId="0" xfId="0" applyAlignment="1" applyFill="1" applyFont="1">
      <alignment readingOrder="0" shrinkToFit="0" vertical="center" wrapText="0"/>
    </xf>
    <xf borderId="0" fillId="8" fontId="2" numFmtId="0" xfId="0" applyAlignment="1" applyFont="1">
      <alignment readingOrder="0" shrinkToFit="0" vertical="center" wrapText="0"/>
    </xf>
    <xf borderId="0" fillId="9" fontId="7" numFmtId="0" xfId="0" applyAlignment="1" applyFill="1" applyFont="1">
      <alignment readingOrder="0" shrinkToFit="0" vertical="center" wrapText="0"/>
    </xf>
    <xf borderId="0" fillId="10" fontId="8" numFmtId="0" xfId="0" applyAlignment="1" applyFill="1" applyFont="1">
      <alignment readingOrder="0" shrinkToFit="0" vertical="center" wrapText="0"/>
    </xf>
    <xf borderId="0" fillId="1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2" fillId="6" fontId="2" numFmtId="0" xfId="0" applyAlignment="1" applyBorder="1" applyFont="1">
      <alignment readingOrder="0" shrinkToFit="0" vertical="center" wrapText="0"/>
    </xf>
    <xf borderId="0" fillId="4" fontId="10" numFmtId="0" xfId="0" applyAlignment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0" fillId="9" fontId="2" numFmtId="0" xfId="0" applyAlignment="1" applyFont="1">
      <alignment readingOrder="0" shrinkToFit="0" vertical="center" wrapText="0"/>
    </xf>
    <xf borderId="0" fillId="11" fontId="2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12" fontId="2" numFmtId="0" xfId="0" applyAlignment="1" applyFill="1" applyFont="1">
      <alignment readingOrder="0" shrinkToFit="0" vertical="center" wrapText="0"/>
    </xf>
    <xf borderId="0" fillId="11" fontId="11" numFmtId="0" xfId="0" applyAlignment="1" applyFont="1">
      <alignment readingOrder="0" shrinkToFit="0" vertical="center" wrapText="0"/>
    </xf>
    <xf borderId="0" fillId="13" fontId="2" numFmtId="0" xfId="0" applyAlignment="1" applyFill="1" applyFont="1">
      <alignment readingOrder="0" shrinkToFit="0" vertical="center" wrapText="0"/>
    </xf>
    <xf borderId="0" fillId="4" fontId="12" numFmtId="0" xfId="0" applyAlignment="1" applyFont="1">
      <alignment readingOrder="0" shrinkToFit="0" vertical="center" wrapText="0"/>
    </xf>
    <xf borderId="0" fillId="14" fontId="2" numFmtId="0" xfId="0" applyAlignment="1" applyFill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2" fillId="15" fontId="2" numFmtId="0" xfId="0" applyAlignment="1" applyBorder="1" applyFill="1" applyFont="1">
      <alignment readingOrder="0" shrinkToFit="0" vertical="center" wrapText="0"/>
    </xf>
    <xf borderId="0" fillId="15" fontId="2" numFmtId="0" xfId="0" applyAlignment="1" applyFont="1">
      <alignment readingOrder="0" shrinkToFit="0" vertical="center" wrapText="0"/>
    </xf>
    <xf borderId="0" fillId="5" fontId="14" numFmtId="0" xfId="0" applyAlignment="1" applyFont="1">
      <alignment readingOrder="0" shrinkToFit="0" vertical="center" wrapText="0"/>
    </xf>
    <xf borderId="0" fillId="16" fontId="2" numFmtId="0" xfId="0" applyAlignment="1" applyFill="1" applyFont="1">
      <alignment readingOrder="0" shrinkToFit="0" vertical="center" wrapText="0"/>
    </xf>
    <xf borderId="0" fillId="17" fontId="2" numFmtId="0" xfId="0" applyAlignment="1" applyFill="1" applyFont="1">
      <alignment readingOrder="0" shrinkToFit="0" vertical="center" wrapText="0"/>
    </xf>
    <xf borderId="0" fillId="11" fontId="2" numFmtId="0" xfId="0" applyAlignment="1" applyFont="1">
      <alignment shrinkToFit="0" vertical="center" wrapText="0"/>
    </xf>
    <xf borderId="0" fillId="13" fontId="15" numFmtId="0" xfId="0" applyAlignment="1" applyFont="1">
      <alignment readingOrder="0" shrinkToFit="0" vertical="center" wrapText="0"/>
    </xf>
    <xf borderId="0" fillId="18" fontId="2" numFmtId="0" xfId="0" applyAlignment="1" applyFill="1" applyFont="1">
      <alignment readingOrder="0" shrinkToFit="0" vertical="center" wrapText="0"/>
    </xf>
    <xf borderId="0" fillId="10" fontId="2" numFmtId="0" xfId="0" applyAlignment="1" applyFont="1">
      <alignment shrinkToFit="0" vertical="center" wrapText="0"/>
    </xf>
    <xf borderId="0" fillId="5" fontId="16" numFmtId="0" xfId="0" applyAlignment="1" applyFont="1">
      <alignment readingOrder="0" shrinkToFit="0" vertical="center" wrapText="0"/>
    </xf>
    <xf borderId="0" fillId="5" fontId="2" numFmtId="0" xfId="0" applyAlignment="1" applyFont="1">
      <alignment shrinkToFit="0" vertical="center" wrapText="0"/>
    </xf>
    <xf borderId="0" fillId="15" fontId="2" numFmtId="164" xfId="0" applyAlignment="1" applyFont="1" applyNumberFormat="1">
      <alignment readingOrder="0" shrinkToFit="0" vertical="center" wrapText="0"/>
    </xf>
    <xf borderId="0" fillId="15" fontId="17" numFmtId="0" xfId="0" applyAlignment="1" applyFont="1">
      <alignment readingOrder="0" shrinkToFit="0" vertical="center" wrapText="0"/>
    </xf>
    <xf borderId="0" fillId="15" fontId="2" numFmtId="0" xfId="0" applyAlignment="1" applyFont="1">
      <alignment shrinkToFit="0" vertical="center" wrapText="0"/>
    </xf>
    <xf borderId="3" fillId="15" fontId="2" numFmtId="0" xfId="0" applyAlignment="1" applyBorder="1" applyFont="1">
      <alignment readingOrder="0" shrinkToFit="0" vertical="center" wrapText="0"/>
    </xf>
    <xf borderId="0" fillId="15" fontId="2" numFmtId="0" xfId="0" applyAlignment="1" applyFont="1">
      <alignment readingOrder="0" shrinkToFit="0" vertical="center" wrapText="0"/>
    </xf>
    <xf borderId="0" fillId="15" fontId="2" numFmtId="0" xfId="0" applyFont="1"/>
    <xf borderId="0" fillId="11" fontId="2" numFmtId="164" xfId="0" applyAlignment="1" applyFont="1" applyNumberFormat="1">
      <alignment readingOrder="0" shrinkToFit="0" vertical="center" wrapText="0"/>
    </xf>
    <xf borderId="0" fillId="11" fontId="18" numFmtId="0" xfId="0" applyAlignment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11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6" fontId="1" numFmtId="0" xfId="0" applyAlignment="1" applyBorder="1" applyFont="1">
      <alignment readingOrder="0" shrinkToFit="0" vertical="center" wrapText="0"/>
    </xf>
    <xf borderId="0" fillId="4" fontId="20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15" fontId="1" numFmtId="0" xfId="0" applyAlignment="1" applyFont="1">
      <alignment readingOrder="0" shrinkToFit="0" vertical="center" wrapText="0"/>
    </xf>
    <xf borderId="0" fillId="11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4" fontId="21" numFmtId="0" xfId="0" applyAlignment="1" applyFont="1">
      <alignment readingOrder="0" shrinkToFit="0" vertical="center" wrapText="0"/>
    </xf>
    <xf borderId="0" fillId="0" fontId="22" numFmtId="0" xfId="0" applyAlignment="1" applyFont="1">
      <alignment readingOrder="0" shrinkToFit="0" vertical="center" wrapText="0"/>
    </xf>
    <xf borderId="0" fillId="9" fontId="2" numFmtId="164" xfId="0" applyAlignment="1" applyFont="1" applyNumberFormat="1">
      <alignment readingOrder="0" shrinkToFit="0" vertical="center" wrapText="0"/>
    </xf>
    <xf borderId="0" fillId="18" fontId="2" numFmtId="0" xfId="0" applyAlignment="1" applyFont="1">
      <alignment shrinkToFit="0" vertical="center" wrapText="0"/>
    </xf>
    <xf borderId="0" fillId="9" fontId="2" numFmtId="0" xfId="0" applyAlignment="1" applyFont="1">
      <alignment shrinkToFit="0" vertical="center" wrapText="0"/>
    </xf>
    <xf borderId="0" fillId="4" fontId="2" numFmtId="164" xfId="0" applyAlignment="1" applyFont="1" applyNumberFormat="1">
      <alignment readingOrder="0" shrinkToFit="0" vertical="center" wrapText="0"/>
    </xf>
    <xf borderId="0" fillId="12" fontId="2" numFmtId="164" xfId="0" applyAlignment="1" applyFont="1" applyNumberFormat="1">
      <alignment readingOrder="0" shrinkToFit="0" vertical="center" wrapText="0"/>
    </xf>
    <xf borderId="0" fillId="9" fontId="23" numFmtId="0" xfId="0" applyAlignment="1" applyFont="1">
      <alignment readingOrder="0" shrinkToFit="0" vertical="center" wrapText="0"/>
    </xf>
    <xf borderId="0" fillId="4" fontId="2" numFmtId="0" xfId="0" applyAlignment="1" applyFont="1">
      <alignment shrinkToFit="0" vertical="center" wrapText="0"/>
    </xf>
    <xf borderId="2" fillId="5" fontId="2" numFmtId="0" xfId="0" applyAlignment="1" applyBorder="1" applyFont="1">
      <alignment readingOrder="0" shrinkToFit="0" vertical="center" wrapText="0"/>
    </xf>
    <xf borderId="2" fillId="9" fontId="2" numFmtId="0" xfId="0" applyAlignment="1" applyBorder="1" applyFont="1">
      <alignment readingOrder="0" shrinkToFit="0" vertical="center" wrapText="0"/>
    </xf>
    <xf borderId="2" fillId="11" fontId="2" numFmtId="0" xfId="0" applyAlignment="1" applyBorder="1" applyFont="1">
      <alignment readingOrder="0" shrinkToFit="0" vertical="center" wrapText="0"/>
    </xf>
    <xf borderId="0" fillId="19" fontId="24" numFmtId="0" xfId="0" applyAlignment="1" applyFill="1" applyFont="1">
      <alignment readingOrder="0" shrinkToFit="0" vertical="center" wrapText="0"/>
    </xf>
    <xf borderId="0" fillId="4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5" numFmtId="0" xfId="0" applyAlignment="1" applyFont="1">
      <alignment horizontal="right" readingOrder="0" vertical="bottom"/>
    </xf>
    <xf borderId="0" fillId="0" fontId="25" numFmtId="0" xfId="0" applyAlignment="1" applyFont="1">
      <alignment vertical="bottom"/>
    </xf>
    <xf borderId="0" fillId="0" fontId="25" numFmtId="0" xfId="0" applyAlignment="1" applyFont="1">
      <alignment horizontal="right" vertical="bottom"/>
    </xf>
    <xf borderId="3" fillId="0" fontId="2" numFmtId="0" xfId="0" applyBorder="1" applyFont="1"/>
    <xf borderId="2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3" fillId="0" fontId="2" numFmtId="0" xfId="0" applyAlignment="1" applyBorder="1" applyFont="1">
      <alignment readingOrder="0"/>
    </xf>
    <xf borderId="0" fillId="0" fontId="25" numFmtId="164" xfId="0" applyAlignment="1" applyFont="1" applyNumberFormat="1">
      <alignment horizontal="right" vertical="bottom"/>
    </xf>
    <xf borderId="0" fillId="0" fontId="26" numFmtId="0" xfId="0" applyAlignment="1" applyFont="1">
      <alignment vertical="bottom"/>
    </xf>
    <xf borderId="0" fillId="19" fontId="25" numFmtId="0" xfId="0" applyAlignment="1" applyFont="1">
      <alignment vertical="bottom"/>
    </xf>
    <xf borderId="0" fillId="20" fontId="25" numFmtId="0" xfId="0" applyAlignment="1" applyFill="1" applyFont="1">
      <alignment horizontal="right" readingOrder="0" vertical="bottom"/>
    </xf>
    <xf borderId="0" fillId="20" fontId="25" numFmtId="0" xfId="0" applyAlignment="1" applyFont="1">
      <alignment vertical="bottom"/>
    </xf>
    <xf borderId="0" fillId="20" fontId="25" numFmtId="0" xfId="0" applyAlignment="1" applyFont="1">
      <alignment horizontal="right" vertical="bottom"/>
    </xf>
    <xf borderId="0" fillId="18" fontId="27" numFmtId="0" xfId="0" applyAlignment="1" applyFont="1">
      <alignment vertical="bottom"/>
    </xf>
    <xf borderId="2" fillId="0" fontId="2" numFmtId="0" xfId="0" applyBorder="1" applyFont="1"/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Font="1"/>
    <xf borderId="4" fillId="4" fontId="28" numFmtId="0" xfId="0" applyAlignment="1" applyBorder="1" applyFont="1">
      <alignment readingOrder="0" shrinkToFit="0" wrapText="0"/>
    </xf>
    <xf borderId="5" fillId="4" fontId="28" numFmtId="0" xfId="0" applyAlignment="1" applyBorder="1" applyFont="1">
      <alignment shrinkToFit="0" wrapText="0"/>
    </xf>
    <xf borderId="6" fillId="9" fontId="28" numFmtId="0" xfId="0" applyAlignment="1" applyBorder="1" applyFont="1">
      <alignment shrinkToFit="0" wrapText="0"/>
    </xf>
    <xf borderId="4" fillId="0" fontId="1" numFmtId="0" xfId="0" applyBorder="1" applyFont="1"/>
    <xf borderId="7" fillId="0" fontId="1" numFmtId="0" xfId="0" applyBorder="1" applyFont="1"/>
    <xf borderId="8" fillId="9" fontId="28" numFmtId="0" xfId="0" applyAlignment="1" applyBorder="1" applyFont="1">
      <alignment shrinkToFit="0" wrapText="0"/>
    </xf>
    <xf borderId="9" fillId="0" fontId="1" numFmtId="0" xfId="0" applyAlignment="1" applyBorder="1" applyFont="1">
      <alignment readingOrder="0"/>
    </xf>
    <xf borderId="10" fillId="19" fontId="24" numFmtId="0" xfId="0" applyAlignment="1" applyBorder="1" applyFont="1">
      <alignment shrinkToFit="0" wrapText="0"/>
    </xf>
    <xf borderId="11" fillId="19" fontId="24" numFmtId="0" xfId="0" applyAlignment="1" applyBorder="1" applyFont="1">
      <alignment horizontal="right" shrinkToFit="0" wrapText="0"/>
    </xf>
    <xf borderId="11" fillId="19" fontId="24" numFmtId="0" xfId="0" applyAlignment="1" applyBorder="1" applyFont="1">
      <alignment shrinkToFit="0" wrapText="0"/>
    </xf>
    <xf borderId="3" fillId="9" fontId="2" numFmtId="0" xfId="0" applyAlignment="1" applyBorder="1" applyFont="1">
      <alignment readingOrder="0"/>
    </xf>
    <xf borderId="12" fillId="20" fontId="24" numFmtId="0" xfId="0" applyAlignment="1" applyBorder="1" applyFont="1">
      <alignment readingOrder="0" shrinkToFit="0" wrapText="0"/>
    </xf>
    <xf borderId="13" fillId="20" fontId="24" numFmtId="0" xfId="0" applyAlignment="1" applyBorder="1" applyFont="1">
      <alignment horizontal="right" shrinkToFit="0" wrapText="0"/>
    </xf>
    <xf borderId="13" fillId="20" fontId="24" numFmtId="0" xfId="0" applyAlignment="1" applyBorder="1" applyFont="1">
      <alignment readingOrder="0" shrinkToFit="0" wrapText="0"/>
    </xf>
    <xf borderId="0" fillId="11" fontId="2" numFmtId="0" xfId="0" applyAlignment="1" applyFont="1">
      <alignment readingOrder="0"/>
    </xf>
    <xf borderId="14" fillId="19" fontId="24" numFmtId="0" xfId="0" applyAlignment="1" applyBorder="1" applyFont="1">
      <alignment shrinkToFit="0" wrapText="0"/>
    </xf>
    <xf borderId="15" fillId="19" fontId="24" numFmtId="0" xfId="0" applyAlignment="1" applyBorder="1" applyFont="1">
      <alignment shrinkToFit="0" wrapText="0"/>
    </xf>
    <xf borderId="16" fillId="5" fontId="29" numFmtId="0" xfId="0" applyAlignment="1" applyBorder="1" applyFont="1">
      <alignment shrinkToFit="0" wrapText="0"/>
    </xf>
    <xf borderId="16" fillId="5" fontId="24" numFmtId="0" xfId="0" applyAlignment="1" applyBorder="1" applyFont="1">
      <alignment shrinkToFit="0" wrapText="0"/>
    </xf>
    <xf borderId="15" fillId="19" fontId="24" numFmtId="0" xfId="0" applyAlignment="1" applyBorder="1" applyFont="1">
      <alignment horizontal="right" shrinkToFit="0" wrapText="0"/>
    </xf>
    <xf borderId="3" fillId="5" fontId="2" numFmtId="0" xfId="0" applyAlignment="1" applyBorder="1" applyFont="1">
      <alignment readingOrder="0"/>
    </xf>
    <xf borderId="17" fillId="20" fontId="24" numFmtId="0" xfId="0" applyAlignment="1" applyBorder="1" applyFont="1">
      <alignment shrinkToFit="0" wrapText="0"/>
    </xf>
    <xf borderId="18" fillId="20" fontId="24" numFmtId="0" xfId="0" applyAlignment="1" applyBorder="1" applyFont="1">
      <alignment shrinkToFit="0" wrapText="0"/>
    </xf>
    <xf borderId="19" fillId="4" fontId="30" numFmtId="0" xfId="0" applyAlignment="1" applyBorder="1" applyFont="1">
      <alignment shrinkToFit="0" wrapText="0"/>
    </xf>
    <xf borderId="19" fillId="4" fontId="24" numFmtId="0" xfId="0" applyAlignment="1" applyBorder="1" applyFont="1">
      <alignment shrinkToFit="0" wrapText="0"/>
    </xf>
    <xf borderId="18" fillId="20" fontId="24" numFmtId="0" xfId="0" applyAlignment="1" applyBorder="1" applyFont="1">
      <alignment horizontal="right" shrinkToFit="0" wrapText="0"/>
    </xf>
    <xf borderId="20" fillId="7" fontId="31" numFmtId="0" xfId="0" applyAlignment="1" applyBorder="1" applyFont="1">
      <alignment shrinkToFit="0" wrapText="0"/>
    </xf>
    <xf borderId="20" fillId="7" fontId="24" numFmtId="0" xfId="0" applyAlignment="1" applyBorder="1" applyFont="1">
      <alignment shrinkToFit="0" wrapText="0"/>
    </xf>
    <xf borderId="21" fillId="8" fontId="32" numFmtId="0" xfId="0" applyAlignment="1" applyBorder="1" applyFont="1">
      <alignment readingOrder="0" shrinkToFit="0" wrapText="0"/>
    </xf>
    <xf borderId="21" fillId="8" fontId="24" numFmtId="0" xfId="0" applyAlignment="1" applyBorder="1" applyFont="1">
      <alignment shrinkToFit="0" wrapText="0"/>
    </xf>
    <xf borderId="22" fillId="9" fontId="33" numFmtId="0" xfId="0" applyAlignment="1" applyBorder="1" applyFont="1">
      <alignment shrinkToFit="0" wrapText="0"/>
    </xf>
    <xf borderId="17" fillId="20" fontId="24" numFmtId="0" xfId="0" applyAlignment="1" applyBorder="1" applyFont="1">
      <alignment readingOrder="0" shrinkToFit="0" wrapText="0"/>
    </xf>
    <xf borderId="22" fillId="9" fontId="24" numFmtId="0" xfId="0" applyAlignment="1" applyBorder="1" applyFont="1">
      <alignment shrinkToFit="0" wrapText="0"/>
    </xf>
    <xf borderId="23" fillId="10" fontId="34" numFmtId="0" xfId="0" applyAlignment="1" applyBorder="1" applyFont="1">
      <alignment shrinkToFit="0" wrapText="0"/>
    </xf>
    <xf borderId="23" fillId="10" fontId="24" numFmtId="0" xfId="0" applyAlignment="1" applyBorder="1" applyFont="1">
      <alignment shrinkToFit="0" wrapText="0"/>
    </xf>
    <xf borderId="24" fillId="0" fontId="24" numFmtId="0" xfId="0" applyAlignment="1" applyBorder="1" applyFont="1">
      <alignment shrinkToFit="0" wrapText="0"/>
    </xf>
    <xf borderId="0" fillId="5" fontId="2" numFmtId="0" xfId="0" applyFont="1"/>
    <xf borderId="25" fillId="4" fontId="24" numFmtId="0" xfId="0" applyAlignment="1" applyBorder="1" applyFont="1">
      <alignment readingOrder="0" shrinkToFit="0" wrapText="0"/>
    </xf>
    <xf borderId="0" fillId="0" fontId="2" numFmtId="0" xfId="0" applyAlignment="1" applyFont="1">
      <alignment readingOrder="0"/>
    </xf>
    <xf borderId="19" fillId="4" fontId="35" numFmtId="0" xfId="0" applyAlignment="1" applyBorder="1" applyFont="1">
      <alignment readingOrder="0" shrinkToFit="0" wrapText="0"/>
    </xf>
    <xf borderId="9" fillId="0" fontId="1" numFmtId="0" xfId="0" applyBorder="1" applyFont="1"/>
    <xf borderId="0" fillId="0" fontId="36" numFmtId="0" xfId="0" applyAlignment="1" applyFont="1">
      <alignment readingOrder="0"/>
    </xf>
    <xf borderId="26" fillId="4" fontId="28" numFmtId="0" xfId="0" applyAlignment="1" applyBorder="1" applyFont="1">
      <alignment shrinkToFit="0" wrapText="0"/>
    </xf>
    <xf borderId="27" fillId="14" fontId="28" numFmtId="0" xfId="0" applyAlignment="1" applyBorder="1" applyFont="1">
      <alignment shrinkToFit="0" wrapText="0"/>
    </xf>
    <xf borderId="28" fillId="0" fontId="24" numFmtId="0" xfId="0" applyAlignment="1" applyBorder="1" applyFont="1">
      <alignment shrinkToFit="0" wrapText="0"/>
    </xf>
    <xf borderId="29" fillId="0" fontId="24" numFmtId="0" xfId="0" applyAlignment="1" applyBorder="1" applyFont="1">
      <alignment horizontal="right" shrinkToFit="0" wrapText="0"/>
    </xf>
    <xf borderId="12" fillId="20" fontId="24" numFmtId="0" xfId="0" applyAlignment="1" applyBorder="1" applyFont="1">
      <alignment shrinkToFit="0" wrapText="0"/>
    </xf>
    <xf borderId="13" fillId="20" fontId="24" numFmtId="0" xfId="0" applyAlignment="1" applyBorder="1" applyFont="1">
      <alignment shrinkToFit="0" wrapText="0"/>
    </xf>
    <xf borderId="0" fillId="14" fontId="37" numFmtId="0" xfId="0" applyAlignment="1" applyFont="1">
      <alignment readingOrder="0"/>
    </xf>
    <xf borderId="30" fillId="11" fontId="38" numFmtId="0" xfId="0" applyAlignment="1" applyBorder="1" applyFont="1">
      <alignment shrinkToFit="0" wrapText="0"/>
    </xf>
    <xf borderId="31" fillId="0" fontId="24" numFmtId="0" xfId="0" applyAlignment="1" applyBorder="1" applyFont="1">
      <alignment horizontal="right" shrinkToFit="0" wrapText="0"/>
    </xf>
    <xf borderId="15" fillId="19" fontId="24" numFmtId="0" xfId="0" applyAlignment="1" applyBorder="1" applyFont="1">
      <alignment readingOrder="0" shrinkToFit="0" wrapText="0"/>
    </xf>
    <xf borderId="31" fillId="0" fontId="24" numFmtId="0" xfId="0" applyAlignment="1" applyBorder="1" applyFont="1">
      <alignment horizontal="right" readingOrder="0" shrinkToFit="0" wrapText="0"/>
    </xf>
    <xf borderId="0" fillId="0" fontId="2" numFmtId="0" xfId="0" applyFont="1"/>
    <xf borderId="0" fillId="0" fontId="39" numFmtId="0" xfId="0" applyAlignment="1" applyFont="1">
      <alignment readingOrder="0" vertical="bottom"/>
    </xf>
    <xf borderId="16" fillId="5" fontId="40" numFmtId="0" xfId="0" applyAlignment="1" applyBorder="1" applyFont="1">
      <alignment readingOrder="0" shrinkToFit="0" wrapText="0"/>
    </xf>
    <xf borderId="9" fillId="0" fontId="1" numFmtId="0" xfId="0" applyAlignment="1" applyBorder="1" applyFont="1">
      <alignment horizontal="right"/>
    </xf>
    <xf borderId="0" fillId="5" fontId="2" numFmtId="0" xfId="0" applyAlignment="1" applyFont="1">
      <alignment readingOrder="0"/>
    </xf>
    <xf borderId="3" fillId="21" fontId="37" numFmtId="0" xfId="0" applyAlignment="1" applyBorder="1" applyFill="1" applyFont="1">
      <alignment readingOrder="0"/>
    </xf>
    <xf borderId="32" fillId="20" fontId="24" numFmtId="0" xfId="0" applyAlignment="1" applyBorder="1" applyFont="1">
      <alignment shrinkToFit="0" wrapText="0"/>
    </xf>
    <xf borderId="33" fillId="0" fontId="24" numFmtId="0" xfId="0" applyAlignment="1" applyBorder="1" applyFont="1">
      <alignment horizontal="right" shrinkToFit="0" wrapText="0"/>
    </xf>
    <xf borderId="0" fillId="9" fontId="2" numFmtId="0" xfId="0" applyAlignment="1" applyFont="1">
      <alignment readingOrder="0"/>
    </xf>
    <xf borderId="15" fillId="19" fontId="41" numFmtId="0" xfId="0" applyAlignment="1" applyBorder="1" applyFont="1">
      <alignment readingOrder="0" shrinkToFit="0" wrapText="0"/>
    </xf>
    <xf borderId="2" fillId="0" fontId="1" numFmtId="0" xfId="0" applyAlignment="1" applyBorder="1" applyFont="1">
      <alignment readingOrder="0"/>
    </xf>
    <xf borderId="2" fillId="0" fontId="24" numFmtId="0" xfId="0" applyAlignment="1" applyBorder="1" applyFont="1">
      <alignment shrinkToFit="0" wrapText="0"/>
    </xf>
    <xf borderId="17" fillId="11" fontId="24" numFmtId="0" xfId="0" applyAlignment="1" applyBorder="1" applyFont="1">
      <alignment shrinkToFit="0" wrapText="0"/>
    </xf>
    <xf borderId="2" fillId="9" fontId="24" numFmtId="0" xfId="0" applyAlignment="1" applyBorder="1" applyFont="1">
      <alignment shrinkToFit="0" wrapText="0"/>
    </xf>
    <xf borderId="34" fillId="11" fontId="24" numFmtId="0" xfId="0" applyAlignment="1" applyBorder="1" applyFont="1">
      <alignment readingOrder="0" shrinkToFit="0" wrapText="0"/>
    </xf>
    <xf borderId="0" fillId="0" fontId="42" numFmtId="0" xfId="0" applyAlignment="1" applyFont="1">
      <alignment readingOrder="0"/>
    </xf>
    <xf borderId="16" fillId="9" fontId="43" numFmtId="0" xfId="0" applyAlignment="1" applyBorder="1" applyFont="1">
      <alignment shrinkToFit="0" wrapText="0"/>
    </xf>
    <xf borderId="18" fillId="20" fontId="44" numFmtId="0" xfId="0" applyAlignment="1" applyBorder="1" applyFont="1">
      <alignment shrinkToFit="0" wrapText="0"/>
    </xf>
    <xf borderId="21" fillId="8" fontId="45" numFmtId="0" xfId="0" applyAlignment="1" applyBorder="1" applyFont="1">
      <alignment shrinkToFit="0" wrapText="0"/>
    </xf>
    <xf borderId="9" fillId="5" fontId="1" numFmtId="0" xfId="0" applyAlignment="1" applyBorder="1" applyFont="1">
      <alignment readingOrder="0"/>
    </xf>
    <xf borderId="18" fillId="20" fontId="46" numFmtId="0" xfId="0" applyAlignment="1" applyBorder="1" applyFont="1">
      <alignment readingOrder="0" shrinkToFit="0" wrapText="0"/>
    </xf>
    <xf borderId="14" fillId="18" fontId="24" numFmtId="0" xfId="0" applyAlignment="1" applyBorder="1" applyFont="1">
      <alignment shrinkToFit="0" wrapText="0"/>
    </xf>
    <xf borderId="35" fillId="18" fontId="24" numFmtId="0" xfId="0" applyAlignment="1" applyBorder="1" applyFont="1">
      <alignment shrinkToFit="0" wrapText="0"/>
    </xf>
    <xf borderId="0" fillId="18" fontId="2" numFmtId="0" xfId="0" applyAlignment="1" applyFont="1">
      <alignment readingOrder="0"/>
    </xf>
    <xf borderId="36" fillId="17" fontId="24" numFmtId="0" xfId="0" applyAlignment="1" applyBorder="1" applyFont="1">
      <alignment shrinkToFit="0" wrapText="0"/>
    </xf>
    <xf borderId="30" fillId="11" fontId="24" numFmtId="0" xfId="0" applyAlignment="1" applyBorder="1" applyFont="1">
      <alignment shrinkToFit="0" wrapText="0"/>
    </xf>
    <xf borderId="23" fillId="10" fontId="25" numFmtId="0" xfId="0" applyBorder="1" applyFont="1"/>
    <xf borderId="13" fillId="20" fontId="24" numFmtId="0" xfId="0" applyAlignment="1" applyBorder="1" applyFont="1">
      <alignment horizontal="right" readingOrder="0" shrinkToFit="0" wrapText="0"/>
    </xf>
    <xf borderId="18" fillId="20" fontId="47" numFmtId="0" xfId="0" applyAlignment="1" applyBorder="1" applyFont="1">
      <alignment readingOrder="0" shrinkToFit="0" wrapText="0"/>
    </xf>
    <xf borderId="22" fillId="5" fontId="48" numFmtId="0" xfId="0" applyAlignment="1" applyBorder="1" applyFont="1">
      <alignment readingOrder="0" shrinkToFit="0" wrapText="0"/>
    </xf>
    <xf borderId="18" fillId="0" fontId="25" numFmtId="0" xfId="0" applyAlignment="1" applyBorder="1" applyFont="1">
      <alignment readingOrder="0"/>
    </xf>
    <xf borderId="16" fillId="5" fontId="49" numFmtId="0" xfId="0" applyAlignment="1" applyBorder="1" applyFont="1">
      <alignment readingOrder="0" shrinkToFit="0" wrapText="0"/>
    </xf>
    <xf borderId="15" fillId="19" fontId="50" numFmtId="0" xfId="0" applyAlignment="1" applyBorder="1" applyFont="1">
      <alignment shrinkToFit="0" wrapText="0"/>
    </xf>
    <xf borderId="37" fillId="20" fontId="28" numFmtId="0" xfId="0" applyAlignment="1" applyBorder="1" applyFont="1">
      <alignment shrinkToFit="0" wrapText="0"/>
    </xf>
    <xf borderId="38" fillId="19" fontId="28" numFmtId="0" xfId="0" applyAlignment="1" applyBorder="1" applyFont="1">
      <alignment shrinkToFit="0" wrapText="0"/>
    </xf>
    <xf borderId="18" fillId="20" fontId="24" numFmtId="0" xfId="0" applyAlignment="1" applyBorder="1" applyFont="1">
      <alignment readingOrder="0" shrinkToFit="0" wrapText="0"/>
    </xf>
    <xf borderId="22" fillId="9" fontId="51" numFmtId="0" xfId="0" applyAlignment="1" applyBorder="1" applyFont="1">
      <alignment readingOrder="0" shrinkToFit="0" wrapText="0"/>
    </xf>
    <xf borderId="34" fillId="0" fontId="24" numFmtId="0" xfId="0" applyAlignment="1" applyBorder="1" applyFont="1">
      <alignment readingOrder="0" shrinkToFit="0" wrapText="0"/>
    </xf>
    <xf borderId="0" fillId="0" fontId="2" numFmtId="0" xfId="0" applyAlignment="1" applyFont="1">
      <alignment horizontal="right"/>
    </xf>
    <xf borderId="39" fillId="13" fontId="24" numFmtId="0" xfId="0" applyAlignment="1" applyBorder="1" applyFont="1">
      <alignment shrinkToFit="0" wrapText="0"/>
    </xf>
    <xf borderId="9" fillId="18" fontId="1" numFmtId="0" xfId="0" applyAlignment="1" applyBorder="1" applyFont="1">
      <alignment readingOrder="0"/>
    </xf>
    <xf borderId="40" fillId="5" fontId="24" numFmtId="0" xfId="0" applyAlignment="1" applyBorder="1" applyFont="1">
      <alignment readingOrder="0" shrinkToFit="0" wrapText="0"/>
    </xf>
    <xf borderId="0" fillId="4" fontId="37" numFmtId="0" xfId="0" applyAlignment="1" applyFont="1">
      <alignment readingOrder="0"/>
    </xf>
    <xf borderId="15" fillId="19" fontId="25" numFmtId="0" xfId="0" applyBorder="1" applyFont="1"/>
    <xf borderId="14" fillId="22" fontId="24" numFmtId="0" xfId="0" applyAlignment="1" applyBorder="1" applyFill="1" applyFont="1">
      <alignment shrinkToFit="0" wrapText="0"/>
    </xf>
    <xf borderId="15" fillId="22" fontId="52" numFmtId="0" xfId="0" applyAlignment="1" applyBorder="1" applyFont="1">
      <alignment readingOrder="0" shrinkToFit="0" wrapText="0"/>
    </xf>
    <xf borderId="41" fillId="0" fontId="24" numFmtId="0" xfId="0" applyAlignment="1" applyBorder="1" applyFont="1">
      <alignment shrinkToFit="0" wrapText="0"/>
    </xf>
    <xf borderId="15" fillId="19" fontId="53" numFmtId="0" xfId="0" applyAlignment="1" applyBorder="1" applyFont="1">
      <alignment readingOrder="0" shrinkToFit="0" wrapText="0"/>
    </xf>
    <xf borderId="18" fillId="20" fontId="54" numFmtId="0" xfId="0" applyAlignment="1" applyBorder="1" applyFont="1">
      <alignment readingOrder="0" shrinkToFit="0" wrapText="0"/>
    </xf>
    <xf borderId="37" fillId="20" fontId="28" numFmtId="0" xfId="0" applyAlignment="1" applyBorder="1" applyFont="1">
      <alignment readingOrder="0" shrinkToFit="0" wrapText="0"/>
    </xf>
    <xf borderId="8" fillId="9" fontId="28" numFmtId="0" xfId="0" applyAlignment="1" applyBorder="1" applyFont="1">
      <alignment readingOrder="0" shrinkToFit="0" wrapText="0"/>
    </xf>
    <xf borderId="16" fillId="0" fontId="24" numFmtId="0" xfId="0" applyAlignment="1" applyBorder="1" applyFont="1">
      <alignment shrinkToFit="0" wrapText="0"/>
    </xf>
    <xf borderId="25" fillId="0" fontId="24" numFmtId="0" xfId="0" applyAlignment="1" applyBorder="1" applyFont="1">
      <alignment readingOrder="0" shrinkToFit="0" wrapText="0"/>
    </xf>
    <xf borderId="9" fillId="5" fontId="1" numFmtId="0" xfId="0" applyBorder="1" applyFont="1"/>
    <xf borderId="13" fillId="15" fontId="55" numFmtId="0" xfId="0" applyAlignment="1" applyBorder="1" applyFont="1">
      <alignment shrinkToFit="0" wrapText="0"/>
    </xf>
    <xf borderId="22" fillId="9" fontId="56" numFmtId="0" xfId="0" applyAlignment="1" applyBorder="1" applyFont="1">
      <alignment readingOrder="0" shrinkToFit="0" wrapText="0"/>
    </xf>
    <xf borderId="18" fillId="0" fontId="57" numFmtId="0" xfId="0" applyAlignment="1" applyBorder="1" applyFont="1">
      <alignment readingOrder="0" shrinkToFit="0" wrapText="0"/>
    </xf>
    <xf borderId="18" fillId="5" fontId="25" numFmtId="0" xfId="0" applyAlignment="1" applyBorder="1" applyFont="1">
      <alignment readingOrder="0"/>
    </xf>
    <xf borderId="0" fillId="0" fontId="25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4" fillId="0" fontId="59" numFmtId="0" xfId="0" applyAlignment="1" applyBorder="1" applyFont="1">
      <alignment vertical="bottom"/>
    </xf>
    <xf borderId="0" fillId="14" fontId="60" numFmtId="0" xfId="0" applyAlignment="1" applyFont="1">
      <alignment readingOrder="0" vertical="bottom"/>
    </xf>
    <xf borderId="42" fillId="9" fontId="24" numFmtId="0" xfId="0" applyAlignment="1" applyBorder="1" applyFont="1">
      <alignment readingOrder="0" shrinkToFit="0" wrapText="0"/>
    </xf>
    <xf borderId="15" fillId="5" fontId="25" numFmtId="0" xfId="0" applyBorder="1" applyFont="1"/>
    <xf borderId="18" fillId="4" fontId="24" numFmtId="0" xfId="0" applyAlignment="1" applyBorder="1" applyFont="1">
      <alignment shrinkToFit="0" wrapText="0"/>
    </xf>
    <xf borderId="16" fillId="5" fontId="61" numFmtId="0" xfId="0" applyAlignment="1" applyBorder="1" applyFont="1">
      <alignment horizontal="right" shrinkToFit="0" wrapText="0"/>
    </xf>
    <xf borderId="15" fillId="5" fontId="25" numFmtId="0" xfId="0" applyAlignment="1" applyBorder="1" applyFont="1">
      <alignment readingOrder="0"/>
    </xf>
    <xf borderId="30" fillId="5" fontId="62" numFmtId="0" xfId="0" applyAlignment="1" applyBorder="1" applyFont="1">
      <alignment shrinkToFit="0" wrapText="0"/>
    </xf>
    <xf borderId="30" fillId="5" fontId="24" numFmtId="0" xfId="0" applyAlignment="1" applyBorder="1" applyFont="1">
      <alignment shrinkToFit="0" wrapText="0"/>
    </xf>
    <xf borderId="15" fillId="19" fontId="25" numFmtId="0" xfId="0" applyAlignment="1" applyBorder="1" applyFont="1">
      <alignment readingOrder="0"/>
    </xf>
    <xf borderId="0" fillId="5" fontId="25" numFmtId="0" xfId="0" applyAlignment="1" applyFont="1">
      <alignment vertical="bottom"/>
    </xf>
    <xf borderId="0" fillId="4" fontId="25" numFmtId="0" xfId="0" applyAlignment="1" applyFont="1">
      <alignment readingOrder="0" vertical="bottom"/>
    </xf>
    <xf borderId="42" fillId="0" fontId="24" numFmtId="0" xfId="0" applyAlignment="1" applyBorder="1" applyFont="1">
      <alignment readingOrder="0" shrinkToFit="0" wrapText="0"/>
    </xf>
    <xf borderId="6" fillId="9" fontId="28" numFmtId="0" xfId="0" applyAlignment="1" applyBorder="1" applyFont="1">
      <alignment readingOrder="0" shrinkToFit="0" wrapText="0"/>
    </xf>
    <xf borderId="43" fillId="12" fontId="28" numFmtId="0" xfId="0" applyAlignment="1" applyBorder="1" applyFont="1">
      <alignment shrinkToFit="0" wrapText="0"/>
    </xf>
    <xf borderId="31" fillId="12" fontId="24" numFmtId="0" xfId="0" applyAlignment="1" applyBorder="1" applyFont="1">
      <alignment horizontal="right" shrinkToFit="0" wrapText="0"/>
    </xf>
    <xf borderId="18" fillId="13" fontId="24" numFmtId="0" xfId="0" applyAlignment="1" applyBorder="1" applyFont="1">
      <alignment readingOrder="0" shrinkToFit="0" wrapText="0"/>
    </xf>
    <xf borderId="16" fillId="18" fontId="24" numFmtId="0" xfId="0" applyAlignment="1" applyBorder="1" applyFont="1">
      <alignment shrinkToFit="0" wrapText="0"/>
    </xf>
    <xf borderId="44" fillId="14" fontId="24" numFmtId="0" xfId="0" applyAlignment="1" applyBorder="1" applyFont="1">
      <alignment readingOrder="0" shrinkToFit="0" wrapText="0"/>
    </xf>
    <xf borderId="0" fillId="14" fontId="2" numFmtId="0" xfId="0" applyAlignment="1" applyFont="1">
      <alignment readingOrder="0"/>
    </xf>
    <xf borderId="35" fillId="5" fontId="24" numFmtId="0" xfId="0" applyAlignment="1" applyBorder="1" applyFont="1">
      <alignment shrinkToFit="0" wrapText="0"/>
    </xf>
    <xf borderId="14" fillId="7" fontId="24" numFmtId="0" xfId="0" applyAlignment="1" applyBorder="1" applyFont="1">
      <alignment shrinkToFit="0" wrapText="0"/>
    </xf>
    <xf borderId="15" fillId="7" fontId="24" numFmtId="0" xfId="0" applyAlignment="1" applyBorder="1" applyFont="1">
      <alignment shrinkToFit="0" wrapText="0"/>
    </xf>
    <xf borderId="22" fillId="7" fontId="63" numFmtId="0" xfId="0" applyAlignment="1" applyBorder="1" applyFont="1">
      <alignment shrinkToFit="0" wrapText="0"/>
    </xf>
    <xf borderId="16" fillId="7" fontId="24" numFmtId="0" xfId="0" applyAlignment="1" applyBorder="1" applyFont="1">
      <alignment shrinkToFit="0" wrapText="0"/>
    </xf>
    <xf borderId="3" fillId="7" fontId="2" numFmtId="0" xfId="0" applyAlignment="1" applyBorder="1" applyFont="1">
      <alignment readingOrder="0"/>
    </xf>
    <xf borderId="15" fillId="19" fontId="64" numFmtId="0" xfId="0" applyAlignment="1" applyBorder="1" applyFont="1">
      <alignment readingOrder="0" shrinkToFit="0" wrapText="0"/>
    </xf>
    <xf borderId="0" fillId="19" fontId="65" numFmtId="0" xfId="0" applyAlignment="1" applyFont="1">
      <alignment readingOrder="0"/>
    </xf>
    <xf borderId="8" fillId="20" fontId="28" numFmtId="0" xfId="0" applyAlignment="1" applyBorder="1" applyFont="1">
      <alignment readingOrder="0" shrinkToFit="0" wrapText="0"/>
    </xf>
    <xf borderId="3" fillId="14" fontId="37" numFmtId="0" xfId="0" applyAlignment="1" applyBorder="1" applyFont="1">
      <alignment readingOrder="0"/>
    </xf>
    <xf borderId="17" fillId="5" fontId="25" numFmtId="0" xfId="0" applyAlignment="1" applyBorder="1" applyFont="1">
      <alignment readingOrder="0"/>
    </xf>
    <xf borderId="0" fillId="13" fontId="2" numFmtId="0" xfId="0" applyFont="1"/>
    <xf borderId="39" fillId="13" fontId="24" numFmtId="0" xfId="0" applyAlignment="1" applyBorder="1" applyFont="1">
      <alignment readingOrder="0" shrinkToFit="0" wrapText="0"/>
    </xf>
    <xf borderId="17" fillId="5" fontId="25" numFmtId="0" xfId="0" applyBorder="1" applyFont="1"/>
    <xf borderId="18" fillId="5" fontId="25" numFmtId="0" xfId="0" applyBorder="1" applyFont="1"/>
    <xf borderId="38" fillId="0" fontId="28" numFmtId="0" xfId="0" applyAlignment="1" applyBorder="1" applyFont="1">
      <alignment shrinkToFit="0" wrapText="0"/>
    </xf>
    <xf borderId="3" fillId="18" fontId="2" numFmtId="0" xfId="0" applyAlignment="1" applyBorder="1" applyFont="1">
      <alignment readingOrder="0"/>
    </xf>
    <xf borderId="18" fillId="20" fontId="24" numFmtId="0" xfId="0" applyAlignment="1" applyBorder="1" applyFont="1">
      <alignment horizontal="right" readingOrder="0" shrinkToFit="0" wrapText="0"/>
    </xf>
    <xf borderId="0" fillId="18" fontId="2" numFmtId="0" xfId="0" applyFont="1"/>
    <xf borderId="14" fillId="19" fontId="24" numFmtId="0" xfId="0" applyAlignment="1" applyBorder="1" applyFont="1">
      <alignment readingOrder="0" shrinkToFit="0" wrapText="0"/>
    </xf>
    <xf borderId="45" fillId="23" fontId="66" numFmtId="0" xfId="0" applyAlignment="1" applyBorder="1" applyFill="1" applyFont="1">
      <alignment shrinkToFit="0" wrapText="0"/>
    </xf>
    <xf borderId="0" fillId="23" fontId="66" numFmtId="0" xfId="0" applyAlignment="1" applyFont="1">
      <alignment shrinkToFit="0" wrapText="0"/>
    </xf>
    <xf borderId="0" fillId="5" fontId="67" numFmtId="0" xfId="0" applyAlignment="1" applyFont="1">
      <alignment shrinkToFit="0" wrapText="0"/>
    </xf>
    <xf borderId="5" fillId="20" fontId="28" numFmtId="0" xfId="0" applyAlignment="1" applyBorder="1" applyFont="1">
      <alignment shrinkToFit="0" wrapText="0"/>
    </xf>
    <xf borderId="4" fillId="9" fontId="28" numFmtId="0" xfId="0" applyAlignment="1" applyBorder="1" applyFont="1">
      <alignment shrinkToFit="0" wrapText="0"/>
    </xf>
    <xf borderId="46" fillId="19" fontId="68" numFmtId="0" xfId="0" applyAlignment="1" applyBorder="1" applyFont="1">
      <alignment shrinkToFit="0" wrapText="0"/>
    </xf>
    <xf borderId="0" fillId="19" fontId="69" numFmtId="0" xfId="0" applyAlignment="1" applyFont="1">
      <alignment shrinkToFit="0" wrapText="0"/>
    </xf>
    <xf borderId="0" fillId="20" fontId="24" numFmtId="0" xfId="0" applyAlignment="1" applyFont="1">
      <alignment shrinkToFit="0" wrapText="0"/>
    </xf>
    <xf borderId="0" fillId="20" fontId="24" numFmtId="0" xfId="0" applyAlignment="1" applyFont="1">
      <alignment horizontal="right" shrinkToFit="0" wrapText="0"/>
    </xf>
    <xf borderId="13" fillId="20" fontId="25" numFmtId="0" xfId="0" applyBorder="1" applyFont="1"/>
    <xf borderId="0" fillId="20" fontId="25" numFmtId="0" xfId="0" applyFont="1"/>
    <xf borderId="0" fillId="4" fontId="70" numFmtId="0" xfId="0" applyAlignment="1" applyFont="1">
      <alignment shrinkToFit="0" wrapText="0"/>
    </xf>
    <xf borderId="0" fillId="4" fontId="24" numFmtId="0" xfId="0" applyAlignment="1" applyFont="1">
      <alignment shrinkToFit="0" wrapText="0"/>
    </xf>
    <xf borderId="47" fillId="5" fontId="24" numFmtId="0" xfId="0" applyAlignment="1" applyBorder="1" applyFont="1">
      <alignment shrinkToFit="0" vertical="bottom" wrapText="0"/>
    </xf>
    <xf borderId="41" fillId="5" fontId="24" numFmtId="0" xfId="0" applyAlignment="1" applyBorder="1" applyFont="1">
      <alignment readingOrder="0" shrinkToFit="0" vertical="bottom" wrapText="0"/>
    </xf>
    <xf borderId="41" fillId="5" fontId="71" numFmtId="0" xfId="0" applyAlignment="1" applyBorder="1" applyFont="1">
      <alignment readingOrder="0" shrinkToFit="0" vertical="bottom" wrapText="0"/>
    </xf>
    <xf borderId="41" fillId="5" fontId="24" numFmtId="0" xfId="0" applyAlignment="1" applyBorder="1" applyFont="1">
      <alignment shrinkToFit="0" vertical="bottom" wrapText="0"/>
    </xf>
    <xf borderId="41" fillId="5" fontId="24" numFmtId="0" xfId="0" applyAlignment="1" applyBorder="1" applyFont="1">
      <alignment horizontal="right" shrinkToFit="0" vertical="bottom" wrapText="0"/>
    </xf>
    <xf borderId="18" fillId="20" fontId="25" numFmtId="0" xfId="0" applyBorder="1" applyFont="1"/>
    <xf borderId="0" fillId="5" fontId="24" numFmtId="0" xfId="0" applyAlignment="1" applyFont="1">
      <alignment shrinkToFit="0" wrapText="0"/>
    </xf>
    <xf borderId="41" fillId="5" fontId="25" numFmtId="0" xfId="0" applyAlignment="1" applyBorder="1" applyFont="1">
      <alignment vertical="bottom"/>
    </xf>
    <xf borderId="0" fillId="9" fontId="72" numFmtId="0" xfId="0" applyAlignment="1" applyFont="1">
      <alignment shrinkToFit="0" wrapText="0"/>
    </xf>
    <xf borderId="0" fillId="9" fontId="24" numFmtId="0" xfId="0" applyAlignment="1" applyFont="1">
      <alignment shrinkToFit="0" wrapText="0"/>
    </xf>
    <xf borderId="0" fillId="20" fontId="24" numFmtId="0" xfId="0" applyAlignment="1" applyFont="1">
      <alignment readingOrder="0" shrinkToFit="0" wrapText="0"/>
    </xf>
    <xf borderId="0" fillId="20" fontId="73" numFmtId="0" xfId="0" applyAlignment="1" applyFont="1">
      <alignment shrinkToFit="0" wrapText="0"/>
    </xf>
    <xf borderId="0" fillId="9" fontId="1" numFmtId="0" xfId="0" applyAlignment="1" applyFont="1">
      <alignment readingOrder="0"/>
    </xf>
    <xf borderId="0" fillId="0" fontId="2" numFmtId="0" xfId="0" applyFont="1"/>
    <xf borderId="18" fillId="5" fontId="24" numFmtId="0" xfId="0" applyAlignment="1" applyBorder="1" applyFont="1">
      <alignment readingOrder="0" shrinkToFit="0" wrapText="0"/>
    </xf>
    <xf borderId="18" fillId="5" fontId="24" numFmtId="0" xfId="0" applyAlignment="1" applyBorder="1" applyFont="1">
      <alignment horizontal="right" shrinkToFit="0" wrapText="0"/>
    </xf>
    <xf borderId="9" fillId="0" fontId="1" numFmtId="0" xfId="0" applyAlignment="1" applyBorder="1" applyFont="1">
      <alignment readingOrder="0"/>
    </xf>
    <xf borderId="0" fillId="0" fontId="74" numFmtId="0" xfId="0" applyAlignment="1" applyFont="1">
      <alignment readingOrder="0"/>
    </xf>
    <xf borderId="4" fillId="18" fontId="28" numFmtId="0" xfId="0" applyAlignment="1" applyBorder="1" applyFont="1">
      <alignment readingOrder="0" shrinkToFit="0" wrapText="0"/>
    </xf>
    <xf borderId="5" fillId="18" fontId="1" numFmtId="0" xfId="0" applyAlignment="1" applyBorder="1" applyFont="1">
      <alignment readingOrder="0"/>
    </xf>
    <xf borderId="4" fillId="18" fontId="1" numFmtId="0" xfId="0" applyBorder="1" applyFont="1"/>
    <xf borderId="7" fillId="18" fontId="1" numFmtId="0" xfId="0" applyBorder="1" applyFont="1"/>
    <xf borderId="4" fillId="9" fontId="28" numFmtId="0" xfId="0" applyAlignment="1" applyBorder="1" applyFont="1">
      <alignment readingOrder="0" shrinkToFit="0" wrapText="0"/>
    </xf>
    <xf borderId="5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0" fillId="18" fontId="1" numFmtId="0" xfId="0" applyFont="1"/>
    <xf borderId="0" fillId="18" fontId="25" numFmtId="0" xfId="0" applyAlignment="1" applyFont="1">
      <alignment vertical="bottom"/>
    </xf>
    <xf borderId="0" fillId="18" fontId="25" numFmtId="0" xfId="0" applyAlignment="1" applyFont="1">
      <alignment horizontal="right" vertical="bottom"/>
    </xf>
    <xf borderId="0" fillId="18" fontId="1" numFmtId="0" xfId="0" applyAlignment="1" applyFont="1">
      <alignment readingOrder="0"/>
    </xf>
    <xf borderId="0" fillId="18" fontId="75" numFmtId="0" xfId="0" applyAlignment="1" applyFont="1">
      <alignment readingOrder="0" vertical="bottom"/>
    </xf>
    <xf borderId="3" fillId="18" fontId="2" numFmtId="0" xfId="0" applyBorder="1" applyFont="1"/>
    <xf borderId="0" fillId="20" fontId="76" numFmtId="0" xfId="0" applyAlignment="1" applyFont="1">
      <alignment readingOrder="0" vertical="bottom"/>
    </xf>
    <xf borderId="9" fillId="18" fontId="1" numFmtId="0" xfId="0" applyBorder="1" applyFont="1"/>
    <xf borderId="0" fillId="5" fontId="25" numFmtId="0" xfId="0" applyAlignment="1" applyFont="1">
      <alignment readingOrder="0" vertical="bottom"/>
    </xf>
    <xf borderId="0" fillId="5" fontId="25" numFmtId="0" xfId="0" applyAlignment="1" applyFont="1">
      <alignment readingOrder="0" vertical="bottom"/>
    </xf>
    <xf borderId="0" fillId="5" fontId="77" numFmtId="0" xfId="0" applyAlignment="1" applyFont="1">
      <alignment readingOrder="0" vertical="bottom"/>
    </xf>
    <xf borderId="0" fillId="5" fontId="25" numFmtId="0" xfId="0" applyAlignment="1" applyFont="1">
      <alignment horizontal="left" readingOrder="0" vertical="bottom"/>
    </xf>
    <xf borderId="0" fillId="8" fontId="25" numFmtId="0" xfId="0" applyAlignment="1" applyFont="1">
      <alignment vertical="bottom"/>
    </xf>
    <xf borderId="0" fillId="8" fontId="78" numFmtId="0" xfId="0" applyAlignment="1" applyFont="1">
      <alignment readingOrder="0" vertical="bottom"/>
    </xf>
    <xf borderId="0" fillId="8" fontId="2" numFmtId="0" xfId="0" applyFont="1"/>
    <xf borderId="0" fillId="8" fontId="25" numFmtId="0" xfId="0" applyAlignment="1" applyFont="1">
      <alignment horizontal="right" vertical="bottom"/>
    </xf>
    <xf borderId="2" fillId="0" fontId="1" numFmtId="0" xfId="0" applyBorder="1" applyFont="1"/>
    <xf borderId="3" fillId="0" fontId="1" numFmtId="0" xfId="0" applyBorder="1" applyFont="1"/>
    <xf borderId="4" fillId="0" fontId="2" numFmtId="0" xfId="0" applyAlignment="1" applyBorder="1" applyFont="1">
      <alignment readingOrder="0"/>
    </xf>
    <xf borderId="4" fillId="9" fontId="2" numFmtId="0" xfId="0" applyAlignment="1" applyBorder="1" applyFont="1">
      <alignment readingOrder="0"/>
    </xf>
    <xf borderId="15" fillId="9" fontId="24" numFmtId="0" xfId="0" applyAlignment="1" applyBorder="1" applyFont="1">
      <alignment shrinkToFit="0" wrapText="0"/>
    </xf>
    <xf borderId="0" fillId="0" fontId="25" numFmtId="0" xfId="0" applyAlignment="1" applyFont="1">
      <alignment horizontal="right" readingOrder="0" vertical="bottom"/>
    </xf>
    <xf borderId="15" fillId="19" fontId="79" numFmtId="0" xfId="0" applyAlignment="1" applyBorder="1" applyFont="1">
      <alignment shrinkToFit="0" wrapText="0"/>
    </xf>
    <xf borderId="15" fillId="19" fontId="80" numFmtId="0" xfId="0" applyAlignment="1" applyBorder="1" applyFont="1">
      <alignment readingOrder="0" shrinkToFit="0" wrapText="0"/>
    </xf>
    <xf borderId="15" fillId="9" fontId="79" numFmtId="0" xfId="0" applyAlignment="1" applyBorder="1" applyFont="1">
      <alignment shrinkToFit="0" wrapText="0"/>
    </xf>
    <xf borderId="15" fillId="19" fontId="79" numFmtId="0" xfId="0" applyAlignment="1" applyBorder="1" applyFont="1">
      <alignment horizontal="right" shrinkToFit="0" wrapText="0"/>
    </xf>
    <xf borderId="9" fillId="0" fontId="25" numFmtId="0" xfId="0" applyAlignment="1" applyBorder="1" applyFont="1">
      <alignment horizontal="right" vertical="bottom"/>
    </xf>
    <xf borderId="0" fillId="19" fontId="25" numFmtId="0" xfId="0" applyAlignment="1" applyFont="1">
      <alignment vertical="bottom"/>
    </xf>
    <xf borderId="4" fillId="0" fontId="25" numFmtId="0" xfId="0" applyAlignment="1" applyBorder="1" applyFont="1">
      <alignment vertical="bottom"/>
    </xf>
    <xf borderId="5" fillId="0" fontId="2" numFmtId="0" xfId="0" applyAlignment="1" applyBorder="1" applyFont="1">
      <alignment readingOrder="0"/>
    </xf>
    <xf borderId="4" fillId="0" fontId="2" numFmtId="0" xfId="0" applyBorder="1" applyFont="1"/>
    <xf borderId="0" fillId="9" fontId="25" numFmtId="0" xfId="0" applyAlignment="1" applyFont="1">
      <alignment readingOrder="0" vertical="bottom"/>
    </xf>
    <xf borderId="0" fillId="19" fontId="24" numFmtId="0" xfId="0" applyAlignment="1" applyFont="1">
      <alignment shrinkToFit="0" wrapText="0"/>
    </xf>
    <xf borderId="0" fillId="19" fontId="24" numFmtId="0" xfId="0" applyAlignment="1" applyFont="1">
      <alignment horizontal="right" shrinkToFit="0" wrapText="0"/>
    </xf>
    <xf borderId="0" fillId="19" fontId="24" numFmtId="0" xfId="0" applyAlignment="1" applyFont="1">
      <alignment readingOrder="0" shrinkToFit="0" wrapText="0"/>
    </xf>
    <xf borderId="0" fillId="19" fontId="81" numFmtId="0" xfId="0" applyAlignment="1" applyFont="1">
      <alignment shrinkToFit="0" wrapText="0"/>
    </xf>
    <xf borderId="18" fillId="5" fontId="82" numFmtId="0" xfId="0" applyAlignment="1" applyBorder="1" applyFont="1">
      <alignment shrinkToFit="0" wrapText="0"/>
    </xf>
    <xf borderId="0" fillId="20" fontId="24" numFmtId="0" xfId="0" applyAlignment="1" applyFont="1">
      <alignment readingOrder="0" shrinkToFit="0" wrapText="0"/>
    </xf>
    <xf borderId="4" fillId="0" fontId="28" numFmtId="0" xfId="0" applyAlignment="1" applyBorder="1" applyFont="1">
      <alignment readingOrder="0" shrinkToFit="0" wrapText="0"/>
    </xf>
    <xf borderId="38" fillId="0" fontId="28" numFmtId="0" xfId="0" applyAlignment="1" applyBorder="1" applyFont="1">
      <alignment readingOrder="0" shrinkToFit="0" wrapText="0"/>
    </xf>
    <xf borderId="9" fillId="0" fontId="1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0" fillId="0" fontId="83" numFmtId="0" xfId="0" applyAlignment="1" applyFont="1">
      <alignment readingOrder="0"/>
    </xf>
    <xf borderId="0" fillId="0" fontId="83" numFmtId="0" xfId="0" applyAlignment="1" applyFont="1">
      <alignment horizontal="center"/>
    </xf>
    <xf borderId="0" fillId="0" fontId="84" numFmtId="0" xfId="0" applyAlignment="1" applyFont="1">
      <alignment horizontal="center"/>
    </xf>
    <xf borderId="0" fillId="0" fontId="37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37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24" fontId="37" numFmtId="0" xfId="0" applyAlignment="1" applyFill="1" applyFont="1">
      <alignment horizontal="center" readingOrder="0"/>
    </xf>
    <xf borderId="0" fillId="24" fontId="85" numFmtId="0" xfId="0" applyAlignment="1" applyFont="1">
      <alignment horizontal="center" readingOrder="0"/>
    </xf>
    <xf borderId="0" fillId="24" fontId="85" numFmtId="0" xfId="0" applyAlignment="1" applyFont="1">
      <alignment horizontal="center"/>
    </xf>
    <xf borderId="0" fillId="24" fontId="84" numFmtId="0" xfId="0" applyAlignment="1" applyFont="1">
      <alignment horizontal="center" readingOrder="0"/>
    </xf>
    <xf borderId="0" fillId="24" fontId="37" numFmtId="0" xfId="0" applyAlignment="1" applyFont="1">
      <alignment horizontal="right" readingOrder="0"/>
    </xf>
    <xf borderId="0" fillId="24" fontId="37" numFmtId="0" xfId="0" applyAlignment="1" applyFont="1">
      <alignment horizontal="center"/>
    </xf>
    <xf borderId="0" fillId="24" fontId="37" numFmtId="0" xfId="0" applyAlignment="1" applyFont="1">
      <alignment horizontal="left" readingOrder="0"/>
    </xf>
    <xf borderId="0" fillId="0" fontId="83" numFmtId="0" xfId="0" applyFont="1"/>
    <xf borderId="0" fillId="0" fontId="85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86" numFmtId="0" xfId="0" applyAlignment="1" applyFont="1">
      <alignment shrinkToFit="0" vertical="bottom" wrapText="0"/>
    </xf>
    <xf borderId="48" fillId="25" fontId="87" numFmtId="0" xfId="0" applyAlignment="1" applyBorder="1" applyFill="1" applyFont="1">
      <alignment horizontal="center" shrinkToFit="0" vertical="bottom" wrapText="0"/>
    </xf>
    <xf borderId="49" fillId="25" fontId="87" numFmtId="0" xfId="0" applyAlignment="1" applyBorder="1" applyFont="1">
      <alignment horizontal="center" shrinkToFit="0" vertical="bottom" wrapText="0"/>
    </xf>
    <xf borderId="49" fillId="25" fontId="87" numFmtId="0" xfId="0" applyAlignment="1" applyBorder="1" applyFont="1">
      <alignment readingOrder="0" shrinkToFit="0" vertical="bottom" wrapText="0"/>
    </xf>
    <xf borderId="49" fillId="25" fontId="87" numFmtId="0" xfId="0" applyAlignment="1" applyBorder="1" applyFont="1">
      <alignment horizontal="right" readingOrder="0" shrinkToFit="0" vertical="bottom" wrapText="0"/>
    </xf>
    <xf borderId="49" fillId="25" fontId="87" numFmtId="0" xfId="0" applyAlignment="1" applyBorder="1" applyFont="1">
      <alignment horizontal="center" shrinkToFit="0" vertical="bottom" wrapText="0"/>
    </xf>
    <xf borderId="49" fillId="25" fontId="87" numFmtId="0" xfId="0" applyAlignment="1" applyBorder="1" applyFont="1">
      <alignment horizontal="left" readingOrder="0" shrinkToFit="0" vertical="bottom" wrapText="0"/>
    </xf>
    <xf borderId="50" fillId="0" fontId="88" numFmtId="0" xfId="0" applyAlignment="1" applyBorder="1" applyFont="1">
      <alignment horizontal="center" shrinkToFit="0" vertical="bottom" wrapText="0"/>
    </xf>
    <xf borderId="0" fillId="0" fontId="89" numFmtId="0" xfId="0" applyAlignment="1" applyFont="1">
      <alignment shrinkToFit="0" vertical="bottom" wrapText="0"/>
    </xf>
    <xf borderId="0" fillId="4" fontId="87" numFmtId="0" xfId="0" applyAlignment="1" applyFont="1">
      <alignment horizontal="center" shrinkToFit="0" vertical="bottom" wrapText="0"/>
    </xf>
    <xf borderId="0" fillId="4" fontId="87" numFmtId="0" xfId="0" applyAlignment="1" applyFont="1">
      <alignment readingOrder="0" shrinkToFit="0" vertical="bottom" wrapText="0"/>
    </xf>
    <xf borderId="0" fillId="4" fontId="87" numFmtId="0" xfId="0" applyAlignment="1" applyFont="1">
      <alignment horizontal="right" readingOrder="0" shrinkToFit="0" vertical="bottom" wrapText="0"/>
    </xf>
    <xf borderId="0" fillId="4" fontId="87" numFmtId="0" xfId="0" applyAlignment="1" applyFont="1">
      <alignment horizontal="left" readingOrder="0" shrinkToFit="0" vertical="bottom" wrapText="0"/>
    </xf>
    <xf borderId="0" fillId="0" fontId="37" numFmtId="0" xfId="0" applyFont="1"/>
    <xf borderId="2" fillId="0" fontId="87" numFmtId="0" xfId="0" applyAlignment="1" applyBorder="1" applyFont="1">
      <alignment horizontal="center" shrinkToFit="0" vertical="bottom" wrapText="0"/>
    </xf>
    <xf borderId="3" fillId="0" fontId="88" numFmtId="0" xfId="0" applyAlignment="1" applyBorder="1" applyFont="1">
      <alignment horizontal="center" shrinkToFit="0" vertical="bottom" wrapText="0"/>
    </xf>
    <xf borderId="0" fillId="0" fontId="87" numFmtId="0" xfId="0" applyAlignment="1" applyFont="1">
      <alignment horizontal="center" shrinkToFit="0" vertical="bottom" wrapText="0"/>
    </xf>
    <xf borderId="0" fillId="0" fontId="90" numFmtId="0" xfId="0" applyAlignment="1" applyFont="1">
      <alignment shrinkToFit="0" vertical="bottom" wrapText="0"/>
    </xf>
    <xf borderId="0" fillId="0" fontId="90" numFmtId="0" xfId="0" applyAlignment="1" applyFont="1">
      <alignment horizontal="right" shrinkToFit="0" vertical="bottom" wrapText="0"/>
    </xf>
    <xf borderId="0" fillId="0" fontId="90" numFmtId="0" xfId="0" applyAlignment="1" applyFont="1">
      <alignment horizontal="left" shrinkToFit="0" vertical="bottom" wrapText="0"/>
    </xf>
    <xf borderId="0" fillId="0" fontId="86" numFmtId="0" xfId="0" applyAlignment="1" applyFont="1">
      <alignment readingOrder="0" shrinkToFit="0" vertical="bottom" wrapText="0"/>
    </xf>
    <xf borderId="2" fillId="25" fontId="87" numFmtId="0" xfId="0" applyAlignment="1" applyBorder="1" applyFont="1">
      <alignment horizontal="center" readingOrder="0" shrinkToFit="0" vertical="bottom" wrapText="0"/>
    </xf>
    <xf borderId="0" fillId="25" fontId="87" numFmtId="0" xfId="0" applyAlignment="1" applyFont="1">
      <alignment horizontal="center" readingOrder="0" shrinkToFit="0" vertical="bottom" wrapText="0"/>
    </xf>
    <xf borderId="0" fillId="0" fontId="91" numFmtId="0" xfId="0" applyAlignment="1" applyFont="1">
      <alignment readingOrder="0"/>
    </xf>
    <xf borderId="0" fillId="0" fontId="89" numFmtId="0" xfId="0" applyAlignment="1" applyFont="1">
      <alignment horizontal="right" readingOrder="0" shrinkToFit="0" vertical="bottom" wrapText="0"/>
    </xf>
    <xf borderId="0" fillId="25" fontId="87" numFmtId="0" xfId="0" applyAlignment="1" applyFont="1">
      <alignment horizontal="center" readingOrder="0" shrinkToFit="0" vertical="bottom" wrapText="0"/>
    </xf>
    <xf borderId="0" fillId="0" fontId="89" numFmtId="0" xfId="0" applyAlignment="1" applyFont="1">
      <alignment horizontal="left" readingOrder="0" shrinkToFit="0" vertical="bottom" wrapText="0"/>
    </xf>
    <xf borderId="3" fillId="25" fontId="88" numFmtId="0" xfId="0" applyAlignment="1" applyBorder="1" applyFont="1">
      <alignment horizontal="center" readingOrder="0" shrinkToFit="0" vertical="bottom" wrapText="0"/>
    </xf>
    <xf borderId="0" fillId="0" fontId="87" numFmtId="0" xfId="0" applyAlignment="1" applyFont="1">
      <alignment shrinkToFit="0" vertical="bottom" wrapText="0"/>
    </xf>
    <xf borderId="0" fillId="4" fontId="87" numFmtId="0" xfId="0" applyAlignment="1" applyFont="1">
      <alignment horizontal="center" readingOrder="0" shrinkToFit="0" vertical="bottom" wrapText="0"/>
    </xf>
    <xf borderId="0" fillId="0" fontId="86" numFmtId="0" xfId="0" applyAlignment="1" applyFont="1">
      <alignment readingOrder="0"/>
    </xf>
    <xf borderId="0" fillId="0" fontId="89" numFmtId="0" xfId="0" applyAlignment="1" applyFont="1">
      <alignment horizontal="left" readingOrder="0" shrinkToFit="0" vertical="bottom" wrapText="0"/>
    </xf>
    <xf borderId="0" fillId="0" fontId="89" numFmtId="0" xfId="0" applyAlignment="1" applyFont="1">
      <alignment readingOrder="0" shrinkToFit="0" vertical="bottom" wrapText="0"/>
    </xf>
    <xf borderId="0" fillId="0" fontId="89" numFmtId="0" xfId="0" applyAlignment="1" applyFont="1">
      <alignment horizontal="right" readingOrder="0" shrinkToFit="0" vertical="bottom" wrapText="0"/>
    </xf>
    <xf borderId="0" fillId="0" fontId="90" numFmtId="0" xfId="0" applyAlignment="1" applyFont="1">
      <alignment horizontal="right" shrinkToFit="0" vertical="bottom" wrapText="0"/>
    </xf>
    <xf borderId="0" fillId="0" fontId="87" numFmtId="0" xfId="0" applyAlignment="1" applyFont="1">
      <alignment horizontal="center" shrinkToFit="0" vertical="bottom" wrapText="0"/>
    </xf>
    <xf borderId="0" fillId="0" fontId="90" numFmtId="0" xfId="0" applyAlignment="1" applyFont="1">
      <alignment horizontal="left" shrinkToFit="0" vertical="bottom" wrapText="0"/>
    </xf>
    <xf borderId="2" fillId="26" fontId="87" numFmtId="0" xfId="0" applyAlignment="1" applyBorder="1" applyFill="1" applyFont="1">
      <alignment horizontal="center" shrinkToFit="0" vertical="bottom" wrapText="0"/>
    </xf>
    <xf borderId="0" fillId="26" fontId="87" numFmtId="0" xfId="0" applyAlignment="1" applyFont="1">
      <alignment horizontal="center" shrinkToFit="0" vertical="bottom" wrapText="0"/>
    </xf>
    <xf borderId="0" fillId="26" fontId="87" numFmtId="0" xfId="0" applyAlignment="1" applyFont="1">
      <alignment readingOrder="0" shrinkToFit="0" vertical="bottom" wrapText="0"/>
    </xf>
    <xf borderId="0" fillId="26" fontId="87" numFmtId="0" xfId="0" applyAlignment="1" applyFont="1">
      <alignment horizontal="right" readingOrder="0" shrinkToFit="0" vertical="bottom" wrapText="0"/>
    </xf>
    <xf borderId="0" fillId="26" fontId="87" numFmtId="0" xfId="0" applyAlignment="1" applyFont="1">
      <alignment horizontal="center" shrinkToFit="0" vertical="bottom" wrapText="0"/>
    </xf>
    <xf borderId="0" fillId="26" fontId="87" numFmtId="0" xfId="0" applyAlignment="1" applyFont="1">
      <alignment horizontal="left" readingOrder="0" shrinkToFit="0" vertical="bottom" wrapText="0"/>
    </xf>
    <xf borderId="2" fillId="26" fontId="87" numFmtId="0" xfId="0" applyAlignment="1" applyBorder="1" applyFont="1">
      <alignment horizontal="center" readingOrder="0" shrinkToFit="0" vertical="bottom" wrapText="0"/>
    </xf>
    <xf borderId="0" fillId="26" fontId="87" numFmtId="0" xfId="0" applyAlignment="1" applyFont="1">
      <alignment horizontal="center" readingOrder="0" shrinkToFit="0" vertical="bottom" wrapText="0"/>
    </xf>
    <xf borderId="0" fillId="26" fontId="87" numFmtId="0" xfId="0" applyAlignment="1" applyFont="1">
      <alignment horizontal="center" readingOrder="0" shrinkToFit="0" vertical="bottom" wrapText="0"/>
    </xf>
    <xf borderId="3" fillId="26" fontId="88" numFmtId="0" xfId="0" applyAlignment="1" applyBorder="1" applyFont="1">
      <alignment horizontal="center" readingOrder="0" shrinkToFit="0" vertical="bottom" wrapText="0"/>
    </xf>
    <xf borderId="0" fillId="0" fontId="91" numFmtId="0" xfId="0" applyAlignment="1" applyFont="1">
      <alignment readingOrder="0" shrinkToFit="0" wrapText="0"/>
    </xf>
    <xf borderId="0" fillId="0" fontId="87" numFmtId="0" xfId="0" applyAlignment="1" applyFont="1">
      <alignment horizontal="center" readingOrder="0" shrinkToFit="0" vertical="bottom" wrapText="0"/>
    </xf>
    <xf borderId="2" fillId="24" fontId="87" numFmtId="0" xfId="0" applyAlignment="1" applyBorder="1" applyFont="1">
      <alignment horizontal="center" shrinkToFit="0" vertical="bottom" wrapText="0"/>
    </xf>
    <xf borderId="0" fillId="24" fontId="87" numFmtId="0" xfId="0" applyAlignment="1" applyFont="1">
      <alignment horizontal="center" shrinkToFit="0" vertical="bottom" wrapText="0"/>
    </xf>
    <xf borderId="0" fillId="24" fontId="87" numFmtId="0" xfId="0" applyAlignment="1" applyFont="1">
      <alignment readingOrder="0" shrinkToFit="0" vertical="bottom" wrapText="0"/>
    </xf>
    <xf borderId="0" fillId="24" fontId="87" numFmtId="0" xfId="0" applyAlignment="1" applyFont="1">
      <alignment horizontal="right" readingOrder="0" shrinkToFit="0" vertical="bottom" wrapText="0"/>
    </xf>
    <xf borderId="0" fillId="24" fontId="87" numFmtId="0" xfId="0" applyAlignment="1" applyFont="1">
      <alignment horizontal="center" shrinkToFit="0" vertical="bottom" wrapText="0"/>
    </xf>
    <xf borderId="0" fillId="24" fontId="87" numFmtId="0" xfId="0" applyAlignment="1" applyFont="1">
      <alignment horizontal="left" readingOrder="0" shrinkToFit="0" vertical="bottom" wrapText="0"/>
    </xf>
    <xf borderId="2" fillId="24" fontId="87" numFmtId="0" xfId="0" applyAlignment="1" applyBorder="1" applyFont="1">
      <alignment horizontal="center" readingOrder="0" shrinkToFit="0" vertical="bottom" wrapText="0"/>
    </xf>
    <xf borderId="0" fillId="24" fontId="87" numFmtId="0" xfId="0" applyAlignment="1" applyFont="1">
      <alignment horizontal="center" readingOrder="0" shrinkToFit="0" vertical="bottom" wrapText="0"/>
    </xf>
    <xf borderId="0" fillId="24" fontId="87" numFmtId="0" xfId="0" applyAlignment="1" applyFont="1">
      <alignment horizontal="center" readingOrder="0" shrinkToFit="0" vertical="bottom" wrapText="0"/>
    </xf>
    <xf borderId="3" fillId="24" fontId="88" numFmtId="0" xfId="0" applyAlignment="1" applyBorder="1" applyFont="1">
      <alignment horizontal="center" readingOrder="0" shrinkToFit="0" vertical="bottom" wrapText="0"/>
    </xf>
    <xf borderId="51" fillId="24" fontId="87" numFmtId="0" xfId="0" applyAlignment="1" applyBorder="1" applyFont="1">
      <alignment horizontal="center" readingOrder="0" shrinkToFit="0" vertical="bottom" wrapText="0"/>
    </xf>
    <xf borderId="4" fillId="24" fontId="87" numFmtId="0" xfId="0" applyAlignment="1" applyBorder="1" applyFont="1">
      <alignment horizontal="center" readingOrder="0" shrinkToFit="0" vertical="bottom" wrapText="0"/>
    </xf>
    <xf borderId="4" fillId="0" fontId="91" numFmtId="0" xfId="0" applyAlignment="1" applyBorder="1" applyFont="1">
      <alignment readingOrder="0"/>
    </xf>
    <xf borderId="4" fillId="0" fontId="89" numFmtId="0" xfId="0" applyAlignment="1" applyBorder="1" applyFont="1">
      <alignment horizontal="right" readingOrder="0" shrinkToFit="0" vertical="bottom" wrapText="0"/>
    </xf>
    <xf borderId="4" fillId="24" fontId="87" numFmtId="0" xfId="0" applyAlignment="1" applyBorder="1" applyFont="1">
      <alignment horizontal="center" readingOrder="0" shrinkToFit="0" vertical="bottom" wrapText="0"/>
    </xf>
    <xf borderId="4" fillId="0" fontId="89" numFmtId="0" xfId="0" applyAlignment="1" applyBorder="1" applyFont="1">
      <alignment horizontal="left" readingOrder="0" shrinkToFit="0" vertical="bottom" wrapText="0"/>
    </xf>
    <xf borderId="7" fillId="24" fontId="88" numFmtId="0" xfId="0" applyAlignment="1" applyBorder="1" applyFont="1">
      <alignment horizontal="center" readingOrder="0" shrinkToFit="0" vertical="bottom" wrapText="0"/>
    </xf>
    <xf borderId="0" fillId="0" fontId="88" numFmtId="0" xfId="0" applyAlignment="1" applyFont="1">
      <alignment horizontal="center" shrinkToFit="0" vertical="bottom" wrapText="0"/>
    </xf>
    <xf borderId="0" fillId="25" fontId="87" numFmtId="0" xfId="0" applyAlignment="1" applyFont="1">
      <alignment horizontal="center" shrinkToFit="0" vertical="bottom" wrapText="0"/>
    </xf>
    <xf borderId="0" fillId="25" fontId="87" numFmtId="0" xfId="0" applyAlignment="1" applyFont="1">
      <alignment readingOrder="0" shrinkToFit="0" vertical="bottom" wrapText="0"/>
    </xf>
    <xf borderId="0" fillId="25" fontId="87" numFmtId="0" xfId="0" applyAlignment="1" applyFont="1">
      <alignment horizontal="right" readingOrder="0" shrinkToFit="0" vertical="bottom" wrapText="0"/>
    </xf>
    <xf borderId="0" fillId="25" fontId="87" numFmtId="0" xfId="0" applyAlignment="1" applyFont="1">
      <alignment horizontal="center" shrinkToFit="0" vertical="bottom" wrapText="0"/>
    </xf>
    <xf borderId="0" fillId="25" fontId="87" numFmtId="0" xfId="0" applyAlignment="1" applyFont="1">
      <alignment horizontal="left" readingOrder="0" shrinkToFit="0" vertical="bottom" wrapText="0"/>
    </xf>
    <xf borderId="0" fillId="25" fontId="88" numFmtId="0" xfId="0" applyAlignment="1" applyFont="1">
      <alignment horizontal="center" readingOrder="0" shrinkToFit="0" vertical="bottom" wrapText="0"/>
    </xf>
    <xf borderId="3" fillId="25" fontId="84" numFmtId="0" xfId="0" applyAlignment="1" applyBorder="1" applyFont="1">
      <alignment horizontal="center" readingOrder="0"/>
    </xf>
    <xf borderId="0" fillId="0" fontId="86" numFmtId="0" xfId="0" applyAlignment="1" applyFont="1">
      <alignment horizontal="right" readingOrder="0" shrinkToFit="0" vertical="bottom" wrapText="0"/>
    </xf>
    <xf borderId="0" fillId="0" fontId="86" numFmtId="0" xfId="0" applyAlignment="1" applyFont="1">
      <alignment horizontal="left" readingOrder="0" shrinkToFit="0" vertical="bottom" wrapText="0"/>
    </xf>
    <xf borderId="0" fillId="26" fontId="88" numFmtId="0" xfId="0" applyAlignment="1" applyFont="1">
      <alignment horizontal="center" readingOrder="0" shrinkToFit="0" vertical="bottom" wrapText="0"/>
    </xf>
    <xf borderId="2" fillId="0" fontId="37" numFmtId="0" xfId="0" applyAlignment="1" applyBorder="1" applyFont="1">
      <alignment horizontal="center"/>
    </xf>
    <xf borderId="0" fillId="0" fontId="83" numFmtId="0" xfId="0" applyAlignment="1" applyFont="1">
      <alignment horizontal="right"/>
    </xf>
    <xf borderId="0" fillId="0" fontId="83" numFmtId="0" xfId="0" applyAlignment="1" applyFont="1">
      <alignment horizontal="left"/>
    </xf>
    <xf borderId="3" fillId="0" fontId="84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92" numFmtId="0" xfId="0" applyAlignment="1" applyFont="1">
      <alignment horizontal="center" readingOrder="0"/>
    </xf>
    <xf borderId="0" fillId="25" fontId="84" numFmtId="0" xfId="0" applyAlignment="1" applyFont="1">
      <alignment horizontal="center" readingOrder="0"/>
    </xf>
    <xf borderId="50" fillId="0" fontId="84" numFmtId="0" xfId="0" applyAlignment="1" applyBorder="1" applyFont="1">
      <alignment horizontal="center"/>
    </xf>
    <xf borderId="3" fillId="25" fontId="84" numFmtId="0" xfId="0" applyAlignment="1" applyBorder="1" applyFont="1">
      <alignment horizontal="center"/>
    </xf>
    <xf borderId="0" fillId="0" fontId="91" numFmtId="0" xfId="0" applyAlignment="1" applyFont="1">
      <alignment readingOrder="0"/>
    </xf>
    <xf borderId="0" fillId="0" fontId="93" numFmtId="0" xfId="0" applyAlignment="1" applyFont="1">
      <alignment readingOrder="0" shrinkToFit="0" vertical="bottom" wrapText="0"/>
    </xf>
    <xf borderId="0" fillId="25" fontId="87" numFmtId="0" xfId="0" applyAlignment="1" applyFont="1">
      <alignment horizontal="center" shrinkToFit="0" vertical="bottom" wrapText="0"/>
    </xf>
    <xf borderId="0" fillId="0" fontId="89" numFmtId="0" xfId="0" applyAlignment="1" applyFont="1">
      <alignment shrinkToFit="0" vertical="bottom" wrapText="0"/>
    </xf>
    <xf borderId="0" fillId="0" fontId="89" numFmtId="0" xfId="0" applyAlignment="1" applyFont="1">
      <alignment horizontal="right" shrinkToFit="0" vertical="bottom" wrapText="0"/>
    </xf>
    <xf borderId="0" fillId="25" fontId="87" numFmtId="0" xfId="0" applyAlignment="1" applyFont="1">
      <alignment horizontal="center" shrinkToFit="0" vertical="bottom" wrapText="0"/>
    </xf>
    <xf borderId="0" fillId="0" fontId="89" numFmtId="0" xfId="0" applyAlignment="1" applyFont="1">
      <alignment horizontal="left" shrinkToFit="0" vertical="bottom" wrapText="0"/>
    </xf>
    <xf borderId="0" fillId="0" fontId="86" numFmtId="0" xfId="0" applyAlignment="1" applyFont="1">
      <alignment horizontal="center" shrinkToFit="0" vertical="bottom" wrapText="0"/>
    </xf>
    <xf borderId="0" fillId="0" fontId="86" numFmtId="0" xfId="0" applyAlignment="1" applyFont="1">
      <alignment horizontal="right" shrinkToFit="0" vertical="bottom" wrapText="0"/>
    </xf>
    <xf borderId="0" fillId="0" fontId="86" numFmtId="0" xfId="0" applyAlignment="1" applyFont="1">
      <alignment horizontal="left" shrinkToFit="0" vertical="bottom" wrapText="0"/>
    </xf>
    <xf borderId="0" fillId="0" fontId="86" numFmtId="0" xfId="0" applyAlignment="1" applyFont="1">
      <alignment horizontal="right" readingOrder="0" shrinkToFit="0" vertical="bottom" wrapText="0"/>
    </xf>
    <xf borderId="0" fillId="0" fontId="86" numFmtId="0" xfId="0" applyAlignment="1" applyFont="1">
      <alignment horizontal="left" readingOrder="0" shrinkToFit="0" vertical="bottom" wrapText="0"/>
    </xf>
    <xf borderId="0" fillId="0" fontId="93" numFmtId="0" xfId="0" applyAlignment="1" applyFont="1">
      <alignment horizontal="right" readingOrder="0" shrinkToFit="0" vertical="bottom" wrapText="0"/>
    </xf>
    <xf borderId="0" fillId="0" fontId="86" numFmtId="0" xfId="0" applyAlignment="1" applyFont="1">
      <alignment horizontal="center" readingOrder="0" shrinkToFit="0" vertical="bottom" wrapText="0"/>
    </xf>
    <xf borderId="0" fillId="0" fontId="86" numFmtId="0" xfId="0" applyAlignment="1" applyFont="1">
      <alignment horizontal="center" readingOrder="0" vertical="bottom"/>
    </xf>
    <xf borderId="0" fillId="0" fontId="25" numFmtId="0" xfId="0" applyAlignment="1" applyFont="1">
      <alignment horizontal="center" readingOrder="0" vertical="bottom"/>
    </xf>
    <xf borderId="0" fillId="0" fontId="86" numFmtId="0" xfId="0" applyAlignment="1" applyFont="1">
      <alignment horizontal="center" vertical="bottom"/>
    </xf>
    <xf borderId="0" fillId="24" fontId="87" numFmtId="0" xfId="0" applyAlignment="1" applyFont="1">
      <alignment horizontal="right" readingOrder="0" shrinkToFit="0" vertical="bottom" wrapText="0"/>
    </xf>
    <xf borderId="0" fillId="24" fontId="87" numFmtId="0" xfId="0" applyAlignment="1" applyFont="1">
      <alignment horizontal="left" readingOrder="0" shrinkToFit="0" vertical="bottom" wrapText="0"/>
    </xf>
    <xf borderId="3" fillId="0" fontId="94" numFmtId="0" xfId="0" applyAlignment="1" applyBorder="1" applyFont="1">
      <alignment horizontal="center" shrinkToFit="0" vertical="bottom" wrapText="0"/>
    </xf>
    <xf borderId="0" fillId="0" fontId="91" numFmtId="0" xfId="0" applyFont="1"/>
    <xf borderId="3" fillId="24" fontId="37" numFmtId="0" xfId="0" applyAlignment="1" applyBorder="1" applyFont="1">
      <alignment horizontal="center"/>
    </xf>
    <xf borderId="0" fillId="24" fontId="87" numFmtId="0" xfId="0" applyAlignment="1" applyFont="1">
      <alignment horizontal="center" readingOrder="0" vertical="bottom"/>
    </xf>
    <xf borderId="51" fillId="24" fontId="87" numFmtId="0" xfId="0" applyAlignment="1" applyBorder="1" applyFont="1">
      <alignment horizontal="center" readingOrder="0" vertical="bottom"/>
    </xf>
    <xf borderId="4" fillId="24" fontId="60" numFmtId="0" xfId="0" applyAlignment="1" applyBorder="1" applyFont="1">
      <alignment horizontal="center" readingOrder="0" vertical="bottom"/>
    </xf>
    <xf borderId="4" fillId="0" fontId="91" numFmtId="0" xfId="0" applyAlignment="1" applyBorder="1" applyFont="1">
      <alignment readingOrder="0" vertical="bottom"/>
    </xf>
    <xf borderId="4" fillId="0" fontId="25" numFmtId="0" xfId="0" applyAlignment="1" applyBorder="1" applyFont="1">
      <alignment horizontal="right" readingOrder="0" vertical="bottom"/>
    </xf>
    <xf borderId="4" fillId="24" fontId="87" numFmtId="0" xfId="0" applyAlignment="1" applyBorder="1" applyFont="1">
      <alignment horizontal="center" readingOrder="0" vertical="bottom"/>
    </xf>
    <xf borderId="4" fillId="0" fontId="89" numFmtId="0" xfId="0" applyAlignment="1" applyBorder="1" applyFont="1">
      <alignment horizontal="left" readingOrder="0" shrinkToFit="0" vertical="bottom" wrapText="0"/>
    </xf>
    <xf borderId="4" fillId="0" fontId="93" numFmtId="0" xfId="0" applyAlignment="1" applyBorder="1" applyFont="1">
      <alignment readingOrder="0" shrinkToFit="0" vertical="bottom" wrapText="0"/>
    </xf>
    <xf borderId="7" fillId="24" fontId="37" numFmtId="0" xfId="0" applyAlignment="1" applyBorder="1" applyFont="1">
      <alignment horizontal="center" readingOrder="0"/>
    </xf>
    <xf borderId="0" fillId="0" fontId="87" numFmtId="0" xfId="0" applyAlignment="1" applyFont="1">
      <alignment readingOrder="0" shrinkToFit="0" vertical="bottom" wrapText="0"/>
    </xf>
    <xf borderId="0" fillId="0" fontId="87" numFmtId="0" xfId="0" applyAlignment="1" applyFont="1">
      <alignment horizontal="right" readingOrder="0" shrinkToFit="0" vertical="bottom" wrapText="0"/>
    </xf>
    <xf borderId="0" fillId="0" fontId="87" numFmtId="0" xfId="0" applyAlignment="1" applyFont="1">
      <alignment horizontal="left" readingOrder="0" shrinkToFit="0" vertical="bottom" wrapText="0"/>
    </xf>
    <xf borderId="0" fillId="0" fontId="87" numFmtId="0" xfId="0" applyAlignment="1" applyFont="1">
      <alignment horizontal="center" readingOrder="0" shrinkToFit="0" vertical="bottom" wrapText="0"/>
    </xf>
    <xf borderId="0" fillId="0" fontId="89" numFmtId="0" xfId="0" applyAlignment="1" applyFont="1">
      <alignment horizontal="right" shrinkToFit="0" vertical="bottom" wrapText="0"/>
    </xf>
    <xf borderId="0" fillId="0" fontId="87" numFmtId="0" xfId="0" applyAlignment="1" applyFont="1">
      <alignment horizontal="center" vertical="bottom"/>
    </xf>
    <xf borderId="0" fillId="0" fontId="25" numFmtId="0" xfId="0" applyAlignment="1" applyFont="1">
      <alignment horizontal="center" vertical="bottom"/>
    </xf>
    <xf borderId="0" fillId="0" fontId="25" numFmtId="0" xfId="0" applyAlignment="1" applyFont="1">
      <alignment vertical="bottom"/>
    </xf>
    <xf borderId="0" fillId="0" fontId="25" numFmtId="0" xfId="0" applyAlignment="1" applyFont="1">
      <alignment horizontal="right" vertical="bottom"/>
    </xf>
    <xf borderId="0" fillId="0" fontId="91" numFmtId="0" xfId="0" applyAlignment="1" applyFont="1">
      <alignment readingOrder="0" vertical="bottom"/>
    </xf>
    <xf borderId="0" fillId="0" fontId="83" numFmtId="0" xfId="0" applyAlignment="1" applyFont="1">
      <alignment horizontal="right" readingOrder="0"/>
    </xf>
    <xf borderId="0" fillId="0" fontId="87" numFmtId="0" xfId="0" applyAlignment="1" applyFont="1">
      <alignment horizontal="right" shrinkToFit="0" vertical="bottom" wrapText="0"/>
    </xf>
    <xf borderId="0" fillId="0" fontId="87" numFmtId="0" xfId="0" applyAlignment="1" applyFont="1">
      <alignment horizontal="left" shrinkToFit="0" vertical="bottom" wrapText="0"/>
    </xf>
    <xf borderId="2" fillId="0" fontId="87" numFmtId="0" xfId="0" applyAlignment="1" applyBorder="1" applyFont="1">
      <alignment horizontal="center" readingOrder="0" shrinkToFit="0" vertical="bottom" wrapText="0"/>
    </xf>
    <xf borderId="3" fillId="0" fontId="88" numFmtId="0" xfId="0" applyAlignment="1" applyBorder="1" applyFont="1">
      <alignment horizontal="center" readingOrder="0" shrinkToFit="0" vertical="bottom" wrapText="0"/>
    </xf>
    <xf borderId="0" fillId="27" fontId="93" numFmtId="0" xfId="0" applyAlignment="1" applyFill="1" applyFont="1">
      <alignment readingOrder="0" shrinkToFit="0" vertical="bottom" wrapText="0"/>
    </xf>
    <xf borderId="0" fillId="27" fontId="91" numFmtId="0" xfId="0" applyAlignment="1" applyFont="1">
      <alignment readingOrder="0"/>
    </xf>
    <xf borderId="3" fillId="24" fontId="37" numFmtId="0" xfId="0" applyAlignment="1" applyBorder="1" applyFont="1">
      <alignment horizontal="center" readingOrder="0"/>
    </xf>
    <xf borderId="4" fillId="0" fontId="89" numFmtId="0" xfId="0" applyAlignment="1" applyBorder="1" applyFont="1">
      <alignment horizontal="right" readingOrder="0" shrinkToFit="0" vertical="bottom" wrapText="0"/>
    </xf>
    <xf borderId="0" fillId="0" fontId="94" numFmtId="0" xfId="0" applyAlignment="1" applyFont="1">
      <alignment horizontal="center" shrinkToFit="0" vertical="bottom" wrapText="0"/>
    </xf>
    <xf borderId="0" fillId="0" fontId="94" numFmtId="0" xfId="0" applyAlignment="1" applyFont="1">
      <alignment horizontal="center" readingOrder="0" shrinkToFit="0" vertical="bottom" wrapText="0"/>
    </xf>
    <xf borderId="0" fillId="0" fontId="92" numFmtId="0" xfId="0" applyAlignment="1" applyFont="1">
      <alignment horizontal="center"/>
    </xf>
    <xf borderId="0" fillId="0" fontId="86" numFmtId="0" xfId="0" applyAlignment="1" applyFont="1">
      <alignment horizontal="center" shrinkToFit="0" vertical="bottom" wrapText="0"/>
    </xf>
    <xf borderId="0" fillId="0" fontId="86" numFmtId="0" xfId="0" applyAlignment="1" applyFont="1">
      <alignment horizontal="center" shrinkToFit="0" vertical="bottom" wrapText="0"/>
    </xf>
    <xf borderId="0" fillId="0" fontId="86" numFmtId="0" xfId="0" applyAlignment="1" applyFont="1">
      <alignment shrinkToFit="0" vertical="bottom" wrapText="0"/>
    </xf>
    <xf borderId="0" fillId="0" fontId="86" numFmtId="0" xfId="0" applyAlignment="1" applyFont="1">
      <alignment horizontal="right" shrinkToFit="0" vertical="bottom" wrapText="0"/>
    </xf>
    <xf borderId="0" fillId="0" fontId="86" numFmtId="0" xfId="0" applyAlignment="1" applyFont="1">
      <alignment horizontal="center" shrinkToFit="0" vertical="bottom" wrapText="0"/>
    </xf>
    <xf borderId="0" fillId="0" fontId="86" numFmtId="0" xfId="0" applyAlignment="1" applyFont="1">
      <alignment horizontal="left" shrinkToFit="0" vertical="bottom" wrapText="0"/>
    </xf>
    <xf borderId="0" fillId="0" fontId="86" numFmtId="0" xfId="0" applyAlignment="1" applyFont="1">
      <alignment horizontal="right" shrinkToFit="0" vertical="bottom" wrapText="0"/>
    </xf>
    <xf borderId="0" fillId="0" fontId="86" numFmtId="0" xfId="0" applyAlignment="1" applyFont="1">
      <alignment horizontal="left" shrinkToFit="0" vertical="bottom" wrapText="0"/>
    </xf>
    <xf borderId="0" fillId="0" fontId="86" numFmtId="0" xfId="0" applyAlignment="1" applyFont="1">
      <alignment horizontal="center" readingOrder="0" shrinkToFit="0" vertical="bottom" wrapText="0"/>
    </xf>
    <xf borderId="1" fillId="0" fontId="2" numFmtId="0" xfId="0" applyBorder="1" applyFont="1"/>
    <xf borderId="52" fillId="0" fontId="1" numFmtId="0" xfId="0" applyAlignment="1" applyBorder="1" applyFont="1">
      <alignment readingOrder="0"/>
    </xf>
    <xf borderId="53" fillId="0" fontId="2" numFmtId="0" xfId="0" applyBorder="1" applyFont="1"/>
    <xf borderId="48" fillId="9" fontId="2" numFmtId="0" xfId="0" applyAlignment="1" applyBorder="1" applyFont="1">
      <alignment readingOrder="0"/>
    </xf>
    <xf borderId="49" fillId="0" fontId="2" numFmtId="0" xfId="0" applyAlignment="1" applyBorder="1" applyFont="1">
      <alignment readingOrder="0"/>
    </xf>
    <xf borderId="50" fillId="0" fontId="2" numFmtId="0" xfId="0" applyBorder="1" applyFont="1"/>
    <xf borderId="2" fillId="9" fontId="2" numFmtId="0" xfId="0" applyAlignment="1" applyBorder="1" applyFont="1">
      <alignment readingOrder="0"/>
    </xf>
    <xf borderId="53" fillId="0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/>
    </xf>
    <xf borderId="2" fillId="0" fontId="2" numFmtId="0" xfId="0" applyBorder="1" applyFont="1"/>
    <xf borderId="0" fillId="0" fontId="2" numFmtId="0" xfId="0" applyFont="1"/>
    <xf borderId="3" fillId="0" fontId="2" numFmtId="0" xfId="0" applyBorder="1" applyFont="1"/>
    <xf borderId="0" fillId="0" fontId="2" numFmtId="0" xfId="0" applyAlignment="1" applyFont="1">
      <alignment horizontal="left"/>
    </xf>
    <xf borderId="50" fillId="0" fontId="2" numFmtId="0" xfId="0" applyBorder="1" applyFont="1"/>
    <xf borderId="2" fillId="9" fontId="1" numFmtId="0" xfId="0" applyAlignment="1" applyBorder="1" applyFont="1">
      <alignment readingOrder="0"/>
    </xf>
    <xf borderId="2" fillId="9" fontId="2" numFmtId="0" xfId="0" applyBorder="1" applyFont="1"/>
    <xf borderId="54" fillId="9" fontId="1" numFmtId="0" xfId="0" applyAlignment="1" applyBorder="1" applyFont="1">
      <alignment readingOrder="0"/>
    </xf>
    <xf borderId="51" fillId="9" fontId="1" numFmtId="0" xfId="0" applyAlignment="1" applyBorder="1" applyFont="1">
      <alignment readingOrder="0"/>
    </xf>
    <xf borderId="5" fillId="9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1" fillId="28" fontId="2" numFmtId="0" xfId="0" applyBorder="1" applyFill="1" applyFont="1"/>
    <xf borderId="53" fillId="28" fontId="1" numFmtId="0" xfId="0" applyAlignment="1" applyBorder="1" applyFont="1">
      <alignment readingOrder="0"/>
    </xf>
    <xf borderId="51" fillId="9" fontId="2" numFmtId="0" xfId="0" applyBorder="1" applyFont="1"/>
    <xf borderId="7" fillId="0" fontId="2" numFmtId="0" xfId="0" applyBorder="1" applyFont="1"/>
    <xf borderId="48" fillId="28" fontId="2" numFmtId="0" xfId="0" applyAlignment="1" applyBorder="1" applyFont="1">
      <alignment readingOrder="0"/>
    </xf>
    <xf borderId="50" fillId="28" fontId="2" numFmtId="0" xfId="0" applyAlignment="1" applyBorder="1" applyFont="1">
      <alignment readingOrder="0"/>
    </xf>
    <xf borderId="51" fillId="28" fontId="1" numFmtId="0" xfId="0" applyAlignment="1" applyBorder="1" applyFont="1">
      <alignment readingOrder="0"/>
    </xf>
    <xf borderId="7" fillId="28" fontId="2" numFmtId="0" xfId="0" applyAlignment="1" applyBorder="1" applyFont="1">
      <alignment readingOrder="0"/>
    </xf>
    <xf borderId="52" fillId="0" fontId="2" numFmtId="0" xfId="0" applyBorder="1" applyFont="1"/>
    <xf borderId="52" fillId="0" fontId="2" numFmtId="0" xfId="0" applyAlignment="1" applyBorder="1" applyFont="1">
      <alignment horizontal="left"/>
    </xf>
    <xf borderId="2" fillId="5" fontId="2" numFmtId="0" xfId="0" applyAlignment="1" applyBorder="1" applyFont="1">
      <alignment readingOrder="0"/>
    </xf>
    <xf borderId="48" fillId="5" fontId="2" numFmtId="0" xfId="0" applyAlignment="1" applyBorder="1" applyFont="1">
      <alignment readingOrder="0"/>
    </xf>
    <xf borderId="2" fillId="5" fontId="2" numFmtId="0" xfId="0" applyBorder="1" applyFont="1"/>
    <xf borderId="2" fillId="5" fontId="1" numFmtId="0" xfId="0" applyAlignment="1" applyBorder="1" applyFont="1">
      <alignment readingOrder="0"/>
    </xf>
    <xf borderId="2" fillId="18" fontId="2" numFmtId="0" xfId="0" applyAlignment="1" applyBorder="1" applyFont="1">
      <alignment readingOrder="0"/>
    </xf>
    <xf borderId="50" fillId="0" fontId="2" numFmtId="0" xfId="0" applyAlignment="1" applyBorder="1" applyFont="1">
      <alignment readingOrder="0"/>
    </xf>
    <xf borderId="2" fillId="18" fontId="1" numFmtId="0" xfId="0" applyAlignment="1" applyBorder="1" applyFont="1">
      <alignment readingOrder="0"/>
    </xf>
    <xf borderId="54" fillId="5" fontId="1" numFmtId="0" xfId="0" applyAlignment="1" applyBorder="1" applyFont="1">
      <alignment readingOrder="0"/>
    </xf>
    <xf borderId="5" fillId="5" fontId="2" numFmtId="0" xfId="0" applyAlignment="1" applyBorder="1" applyFont="1">
      <alignment readingOrder="0"/>
    </xf>
    <xf borderId="51" fillId="18" fontId="1" numFmtId="0" xfId="0" applyAlignment="1" applyBorder="1" applyFont="1">
      <alignment readingOrder="0"/>
    </xf>
    <xf borderId="51" fillId="5" fontId="2" numFmtId="0" xfId="0" applyBorder="1" applyFont="1"/>
    <xf borderId="4" fillId="0" fontId="2" numFmtId="0" xfId="0" applyAlignment="1" applyBorder="1" applyFont="1">
      <alignment horizontal="left" readingOrder="0"/>
    </xf>
    <xf borderId="51" fillId="5" fontId="1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Respuestas de formulario 1-style 2">
      <tableStyleElement dxfId="3" type="firstRowStripe"/>
      <tableStyleElement dxfId="2" type="secondRowStripe"/>
    </tableStyle>
    <tableStyle count="2" pivot="0" name="Respuestas de formulario 1-style 3">
      <tableStyleElement dxfId="2" type="firstRowStripe"/>
      <tableStyleElement dxfId="3" type="secondRowStripe"/>
    </tableStyle>
    <tableStyle count="2" pivot="0" name="Listas-style">
      <tableStyleElement dxfId="3" type="firstRowStripe"/>
      <tableStyleElement dxfId="2" type="secondRowStripe"/>
    </tableStyle>
    <tableStyle count="2" pivot="0" name="Listas-style 2">
      <tableStyleElement dxfId="3" type="firstRowStripe"/>
      <tableStyleElement dxfId="2" type="secondRowStripe"/>
    </tableStyle>
    <tableStyle count="2" pivot="0" name="Listas-style 3">
      <tableStyleElement dxfId="3" type="firstRowStripe"/>
      <tableStyleElement dxfId="2" type="secondRowStripe"/>
    </tableStyle>
    <tableStyle count="2" pivot="0" name="Listas-style 4">
      <tableStyleElement dxfId="3" type="firstRowStripe"/>
      <tableStyleElement dxfId="2" type="secondRowStripe"/>
    </tableStyle>
    <tableStyle count="2" pivot="0" name="Listas-style 5">
      <tableStyleElement dxfId="3" type="firstRowStripe"/>
      <tableStyleElement dxfId="2" type="secondRowStripe"/>
    </tableStyle>
    <tableStyle count="2" pivot="0" name="Listas-style 6">
      <tableStyleElement dxfId="3" type="firstRowStripe"/>
      <tableStyleElement dxfId="2" type="secondRowStripe"/>
    </tableStyle>
    <tableStyle count="2" pivot="0" name="Listas-style 7">
      <tableStyleElement dxfId="3" type="firstRowStripe"/>
      <tableStyleElement dxfId="2" type="secondRowStripe"/>
    </tableStyle>
    <tableStyle count="2" pivot="0" name="Listas-style 8">
      <tableStyleElement dxfId="3" type="firstRowStripe"/>
      <tableStyleElement dxfId="2" type="secondRowStripe"/>
    </tableStyle>
    <tableStyle count="2" pivot="0" name="Listas-style 9">
      <tableStyleElement dxfId="3" type="firstRowStripe"/>
      <tableStyleElement dxfId="2" type="secondRowStripe"/>
    </tableStyle>
    <tableStyle count="2" pivot="0" name="Listas-style 10">
      <tableStyleElement dxfId="2" type="firstRowStripe"/>
      <tableStyleElement dxfId="3" type="secondRowStripe"/>
    </tableStyle>
    <tableStyle count="2" pivot="0" name="Listas-style 11">
      <tableStyleElement dxfId="2" type="firstRowStripe"/>
      <tableStyleElement dxfId="3" type="secondRowStripe"/>
    </tableStyle>
    <tableStyle count="2" pivot="0" name="Listas-style 12">
      <tableStyleElement dxfId="3" type="firstRowStripe"/>
      <tableStyleElement dxfId="2" type="secondRowStripe"/>
    </tableStyle>
    <tableStyle count="2" pivot="0" name="Listas-style 13">
      <tableStyleElement dxfId="3" type="firstRowStripe"/>
      <tableStyleElement dxfId="2" type="secondRowStripe"/>
    </tableStyle>
    <tableStyle count="2" pivot="0" name="Listas-style 14">
      <tableStyleElement dxfId="3" type="firstRowStripe"/>
      <tableStyleElement dxfId="2" type="secondRowStripe"/>
    </tableStyle>
    <tableStyle count="2" pivot="0" name="Listas-style 15">
      <tableStyleElement dxfId="3" type="firstRowStripe"/>
      <tableStyleElement dxfId="2" type="secondRowStripe"/>
    </tableStyle>
    <tableStyle count="2" pivot="0" name="Listas-style 16">
      <tableStyleElement dxfId="3" type="firstRowStripe"/>
      <tableStyleElement dxfId="2" type="secondRowStripe"/>
    </tableStyle>
    <tableStyle count="2" pivot="0" name="Listas-style 17">
      <tableStyleElement dxfId="3" type="firstRowStripe"/>
      <tableStyleElement dxfId="2" type="secondRowStripe"/>
    </tableStyle>
    <tableStyle count="2" pivot="0" name="Listas-style 18">
      <tableStyleElement dxfId="2" type="firstRowStripe"/>
      <tableStyleElement dxfId="3" type="secondRowStripe"/>
    </tableStyle>
    <tableStyle count="2" pivot="0" name="Listas-style 19">
      <tableStyleElement dxfId="2" type="firstRowStripe"/>
      <tableStyleElement dxfId="3" type="secondRowStripe"/>
    </tableStyle>
    <tableStyle count="2" pivot="0" name="Listas-style 20">
      <tableStyleElement dxfId="3" type="firstRowStripe"/>
      <tableStyleElement dxfId="2" type="secondRowStripe"/>
    </tableStyle>
    <tableStyle count="2" pivot="0" name="Listas-style 21">
      <tableStyleElement dxfId="2" type="firstRowStripe"/>
      <tableStyleElement dxfId="3" type="secondRowStripe"/>
    </tableStyle>
    <tableStyle count="2" pivot="0" name="Listas-style 22">
      <tableStyleElement dxfId="3" type="firstRowStripe"/>
      <tableStyleElement dxfId="2" type="secondRowStripe"/>
    </tableStyle>
    <tableStyle count="2" pivot="0" name="Listas-style 23">
      <tableStyleElement dxfId="3" type="firstRowStripe"/>
      <tableStyleElement dxfId="2" type="secondRowStripe"/>
    </tableStyle>
    <tableStyle count="2" pivot="0" name="Listas-style 24">
      <tableStyleElement dxfId="3" type="firstRowStripe"/>
      <tableStyleElement dxfId="2" type="secondRowStripe"/>
    </tableStyle>
    <tableStyle count="2" pivot="0" name="Listas-style 25">
      <tableStyleElement dxfId="3" type="firstRowStripe"/>
      <tableStyleElement dxfId="2" type="secondRowStripe"/>
    </tableStyle>
    <tableStyle count="2" pivot="0" name="Listas-style 26">
      <tableStyleElement dxfId="3" type="firstRowStripe"/>
      <tableStyleElement dxfId="2" type="secondRowStripe"/>
    </tableStyle>
    <tableStyle count="2" pivot="0" name="Listas-style 27">
      <tableStyleElement dxfId="3" type="firstRowStripe"/>
      <tableStyleElement dxfId="2" type="secondRowStripe"/>
    </tableStyle>
    <tableStyle count="2" pivot="0" name="Listas-style 28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BL Luis" id="{27d55be0-206e-4f53-bd96-fcb6a99e1b32}" providerId="google-sheets"/>
</x18tc:personList>
</file>

<file path=xl/tables/table1.xml><?xml version="1.0" encoding="utf-8"?>
<table xmlns="http://schemas.openxmlformats.org/spreadsheetml/2006/main" ref="A2:GZ58" displayName="Form_Responses" name="Form_Responses" id="1">
  <tableColumns count="208">
    <tableColumn name="Marca temporal" id="1"/>
    <tableColumn name="Nombre Oficial del equipo " id="2"/>
    <tableColumn name="Tag o Abreviación del equipo (3-5 caracteres)  " id="3"/>
    <tableColumn name="¿El equipo cuenta con logo oficial?" id="4"/>
    <tableColumn name="Subir los COMPROBANTES y enviar a este NUMERO de WHATSAPP 74334239" id="5"/>
    <tableColumn name="En caso de tener un logo._x000a_Enviar en formato PNG/JPG con fondo transparente si tuvieran  " id="6"/>
    <tableColumn name="Nombre completo del representante o capitán del equipo *" id="7"/>
    <tableColumn name="Número de celular" id="8"/>
    <tableColumn name="Correo electrónico de contacto principal  " id="9"/>
    <tableColumn name="Discord del Representante  " id="10"/>
    <tableColumn name="CI del representante " id="11"/>
    <tableColumn name="JUEGA alguna otra Linea aparte de TOP?" id="12"/>
    <tableColumn name="Nombre del Top Laner" id="13"/>
    <tableColumn name="Cuenta de LoL" id="14"/>
    <tableColumn name="Perfil de op.gg o tracker.gg (link)  " id="15"/>
    <tableColumn name="Cuál es el Rango Máximo al que llegó este año?" id="16"/>
    <tableColumn name="El Top juega activamente en LAS?" id="17"/>
    <tableColumn name="Número contacto personal Whatsapp" id="18"/>
    <tableColumn name="ID de Discord del jugador  " id="19"/>
    <tableColumn name="  🔹 Aceptación y Compromiso" id="20"/>
    <tableColumn name="JUEGA alguna otra Linea a parte de JUNGLER?" id="21"/>
    <tableColumn name="Nombre del JUNGLERO" id="22"/>
    <tableColumn name="Cuenta de LoL 2" id="23"/>
    <tableColumn name="Perfil de op.gg o tracker.gg (link)   2" id="24"/>
    <tableColumn name="PEAK ELO y ELO ACTUAL" id="25"/>
    <tableColumn name="Es su cuenta principal?" id="26"/>
    <tableColumn name="Número contacto personal Whatsapp 2" id="27"/>
    <tableColumn name="ID de Discord del jugador   2" id="28"/>
    <tableColumn name="  🔹 Aceptación y Compromiso 2" id="29"/>
    <tableColumn name="Flexea alguna otra Linea a parte de MIDLANER?" id="30"/>
    <tableColumn name="Nombre del Mid Laner" id="31"/>
    <tableColumn name="Cuenta de LoL 3" id="32"/>
    <tableColumn name="Perfil de op.gg o tracker.gg (link)   3" id="33"/>
    <tableColumn name="PEAK ELO y ELO ACTUAL 2" id="34"/>
    <tableColumn name="Es su cuenta principal? 2" id="35"/>
    <tableColumn name="Número contacto personal Whatsapp 3" id="36"/>
    <tableColumn name="ID de Discord del jugador   3" id="37"/>
    <tableColumn name="  🔹 Aceptación y Compromiso 3" id="38"/>
    <tableColumn name="Flexea alguna otra Linea a parte de AD CARRY?" id="39"/>
    <tableColumn name="NOMBRE DEL AD CARRY" id="40"/>
    <tableColumn name="Cuenta de LoL 4" id="41"/>
    <tableColumn name="Perfil de op.gg o tracker.gg (link)   4" id="42"/>
    <tableColumn name="PEAK ELO y ELO ACTUAL 3" id="43"/>
    <tableColumn name="Es su cuenta principal? 3" id="44"/>
    <tableColumn name="Número contacto personal Whatsapp 4" id="45"/>
    <tableColumn name="ID de Discord del jugador   4" id="46"/>
    <tableColumn name="  🔹 Aceptación y Compromiso 4" id="47"/>
    <tableColumn name="Flexea alguna otra Linea a parte de SUPPORT?" id="48"/>
    <tableColumn name="NOMBRE DEL SUPPORT" id="49"/>
    <tableColumn name="Cuenta de LoL 5" id="50"/>
    <tableColumn name="Perfil de op.gg o tracker.gg (link)   5" id="51"/>
    <tableColumn name="PEAK ELO y ELO ACTUAL 4" id="52"/>
    <tableColumn name="Es su cuenta principal? 4" id="53"/>
    <tableColumn name="Número contacto personal Whatsapp 5" id="54"/>
    <tableColumn name="ID de Discord del jugador   5" id="55"/>
    <tableColumn name="  🔹 Aceptación y Compromiso 5" id="56"/>
    <tableColumn name="NOMBRES APELLIDOS , RIOT IDL , Linea que Juega " id="57"/>
    <tableColumn name="Perfil de op.gg o tracker.gg (link)   6" id="58"/>
    <tableColumn name="Dirección de correo electrónico" id="59"/>
    <tableColumn name="JUEGA alguna otra Linea aparte de JUNGLA?" id="60"/>
    <tableColumn name="Cuenta de LoL 6" id="61"/>
    <tableColumn name="Perfil de op.gg o tracker.gg (link)   7" id="62"/>
    <tableColumn name="La cuenta que acaba de registrar es la cuenta principal del jugador?" id="63"/>
    <tableColumn name="Cuál es el Rango Máximo al que llegó este año? 2" id="64"/>
    <tableColumn name="JUEGA alguna otra Linea aparte de MID?" id="65"/>
    <tableColumn name="Cuenta de LoL 7" id="66"/>
    <tableColumn name="CI del Top Laner" id="67"/>
    <tableColumn name="Ciudad donde Reside/Vive el Jugador" id="68"/>
    <tableColumn name="Nombre completo del Segundo Representante del equipo_x000a_" id="69"/>
    <tableColumn name="Discord del Representante   2" id="70"/>
    <tableColumn name="Número de celular 2" id="71"/>
    <tableColumn name="CI del representante  2" id="72"/>
    <tableColumn name="La cuenta que acaba de registrar es la cuenta principal del jugador? 2" id="73"/>
    <tableColumn name="CI del Junglero" id="74"/>
    <tableColumn name="Ciudad donde Reside/Vive el Jugador 2" id="75"/>
    <tableColumn name="JUEGA alguna otra Linea aparte de MID? 2" id="76"/>
    <tableColumn name="Perfil de op.gg o tracker.gg (link)   8" id="77"/>
    <tableColumn name="Perfil de op.gg o tracker.gg (link)   9" id="78"/>
    <tableColumn name="Cuál es el Rango Máximo al que llegó este año? 3" id="79"/>
    <tableColumn name="La cuenta que acaba de registrar es la cuenta principal del jugador? 3" id="80"/>
    <tableColumn name="CI del Mid Laner" id="81"/>
    <tableColumn name="Ciudad donde Reside/Vive el Jugador 3" id="82"/>
    <tableColumn name="Perfil de op.gg o tracker.gg (link)   10" id="83"/>
    <tableColumn name="Cuál es el Rango Máximo al que llegó este año? 4" id="84"/>
    <tableColumn name="La cuenta que acaba de registrar es la cuenta principal del jugador? 4" id="85"/>
    <tableColumn name="Disponibilidad Durante Semana (Inicio) [Jueves]" id="86"/>
    <tableColumn name="Disponibilidad Durante Semana (Inicio) [Viernes]" id="87"/>
    <tableColumn name="Disponibilidad Durante Semana (Inicio) [Lunes]" id="88"/>
    <tableColumn name="Disponibilidad Durante Semana (Inicio) [Martes]" id="89"/>
    <tableColumn name="Disponibilidad Durante Semana (Inicio) [Miercoles]" id="90"/>
    <tableColumn name="Disponibilidad de Fin de Semana (Inicio) [Sábado]" id="91"/>
    <tableColumn name="Disponibilidad de Fin de Semana (Inicio) [Domingo]" id="92"/>
    <tableColumn name="Está de acuerdo con las Indicaciones Previas al Registro de Equipo?" id="93"/>
    <tableColumn name="Disponibilidad Durante Semana 2 (Final) [Lunes]" id="94"/>
    <tableColumn name="Disponibilidad Durante Semana 2 (Final) [Martes]" id="95"/>
    <tableColumn name="Disponibilidad Durante Semana 2 (Final) [Miercoles]" id="96"/>
    <tableColumn name="Disponibilidad Durante Semana 2 (Final) [Jueves]" id="97"/>
    <tableColumn name="Disponibilidad Durante Semana 2 (Final) [Viernes]" id="98"/>
    <tableColumn name="Disponibilidad de Fin de Semana (Final) [Sábado]" id="99"/>
    <tableColumn name="Disponibilidad de Fin de Semana (Final) [Domingo]" id="100"/>
    <tableColumn name="Cuenta PRINCIPAL de LoL" id="101"/>
    <tableColumn name="Perfil de op.gg o tracker.gg (link)   11" id="102"/>
    <tableColumn name="Cuenta PRINCIPAL de LoL 2" id="103"/>
    <tableColumn name="Perfil de op.gg o tracker.gg (link)   12" id="104"/>
    <tableColumn name="El JG juega activamente en LAS?" id="105"/>
    <tableColumn name="Nombre del MID LANER" id="106"/>
    <tableColumn name="CI del Jugador" id="107"/>
    <tableColumn name="Ciudad donde Reside/Vive el Jugador 4" id="108"/>
    <tableColumn name="Número contacto personal Whatsapp 6" id="109"/>
    <tableColumn name="ID de Discord del jugador   6" id="110"/>
    <tableColumn name="JUEGA alguna otra Linea aparte de MID? 3" id="111"/>
    <tableColumn name="Cuál es el Rango Máximo al que llegó este año? 5" id="112"/>
    <tableColumn name="Cuenta de LoL 8" id="113"/>
    <tableColumn name="Perfil de op.gg o tracker.gg (link)   13" id="114"/>
    <tableColumn name="El MID juega activamente en LAS?" id="115"/>
    <tableColumn name="Nombre del ADC" id="116"/>
    <tableColumn name="CI del Jugador 2" id="117"/>
    <tableColumn name="Ciudad donde Reside/Vive el Jugador 5" id="118"/>
    <tableColumn name="Número contacto personal Whatsapp 7" id="119"/>
    <tableColumn name="ID de Discord del jugador   7" id="120"/>
    <tableColumn name="JUEGA alguna otra Linea aparte de ADC?" id="121"/>
    <tableColumn name="Cuál es el Rango Máximo al que llegó este año? 6" id="122"/>
    <tableColumn name="Cuenta de LoL 9" id="123"/>
    <tableColumn name="Perfil de op.gg o tracker.gg (link)   14" id="124"/>
    <tableColumn name="El ADC juega activamente en LAS?" id="125"/>
    <tableColumn name="Nombre del SOPORTE" id="126"/>
    <tableColumn name="CI del Jugador 3" id="127"/>
    <tableColumn name="Ciudad donde Reside/Vive el Jugador 6" id="128"/>
    <tableColumn name="Número contacto personal Whatsapp 8" id="129"/>
    <tableColumn name="ID de Discord del jugador   8" id="130"/>
    <tableColumn name="JUEGA alguna otra Linea aparte de SOPORTE?" id="131"/>
    <tableColumn name="Cuál es el Rango Máximo al que llegó este año? 7" id="132"/>
    <tableColumn name="Cuenta de LoL 10" id="133"/>
    <tableColumn name="Perfil de op.gg o tracker.gg (link)   15" id="134"/>
    <tableColumn name="El SOPORTE juega activamente en LAS?" id="135"/>
    <tableColumn name="Cuenta PRINCIPAL de LoL 3" id="136"/>
    <tableColumn name="Perfil de op.gg o tracker.gg (link)   16" id="137"/>
    <tableColumn name="Cuenta PRINCIPAL de LoL 4" id="138"/>
    <tableColumn name="Perfil de op.gg o tracker.gg (link)   17" id="139"/>
    <tableColumn name="Cuenta PRINCIPAL de LoL 5" id="140"/>
    <tableColumn name="Perfil de op.gg o tracker.gg (link)   18" id="141"/>
    <tableColumn name="Nombre del JUGADOR" id="142"/>
    <tableColumn name="CI del Jugador 4" id="143"/>
    <tableColumn name="Ciudad donde Reside/Vive el Jugador 7" id="144"/>
    <tableColumn name="Número contacto personal Whatsapp 9" id="145"/>
    <tableColumn name="ID de Discord del jugador   9" id="146"/>
    <tableColumn name="Cuál es el Rol Principal del Jugador?" id="147"/>
    <tableColumn name="Cuál es el Rango Máximo al que llegó este año? 8" id="148"/>
    <tableColumn name="Cuenta de LoL 11" id="149"/>
    <tableColumn name="Perfil de op.gg o tracker.gg (link)   19" id="150"/>
    <tableColumn name="El JUGADOR juega activamente en LAS?" id="151"/>
    <tableColumn name="Cuenta PRINCIPAL de LoL 6" id="152"/>
    <tableColumn name="Perfil de op.gg o tracker.gg (link)   20" id="153"/>
    <tableColumn name="Cuantos Suplentes desea Registrar?" id="154"/>
    <tableColumn name="Cuál es el Rol Secundario del Jugador? " id="155"/>
    <tableColumn name="Nombre del JUGADOR 2" id="156"/>
    <tableColumn name="CI del Jugador 5" id="157"/>
    <tableColumn name="Ciudad donde Reside/Vive el Jugador 8" id="158"/>
    <tableColumn name="Número contacto personal Whatsapp 10" id="159"/>
    <tableColumn name="ID de Discord del jugador   10" id="160"/>
    <tableColumn name="Cuál es el Rol Principal del Jugador? 2" id="161"/>
    <tableColumn name="Cuál es el Rol Secundario del Jugador?  2" id="162"/>
    <tableColumn name="Cuál es el Rango Máximo al que llegó este año? 9" id="163"/>
    <tableColumn name="Cuenta de LoL 12" id="164"/>
    <tableColumn name="Perfil de op.gg o tracker.gg (link)   21" id="165"/>
    <tableColumn name="El JUGADOR juega activamente en LAS? 2" id="166"/>
    <tableColumn name="Nombre del JUGADOR 3" id="167"/>
    <tableColumn name="CI del Jugador 6" id="168"/>
    <tableColumn name="Ciudad donde Reside/Vive el Jugador 9" id="169"/>
    <tableColumn name="Número contacto personal Whatsapp 11" id="170"/>
    <tableColumn name="ID de Discord del jugador   11" id="171"/>
    <tableColumn name="Cuál es el Rol Principal del Jugador? 3" id="172"/>
    <tableColumn name="Cuál es el Rol Secundario del Jugador?  3" id="173"/>
    <tableColumn name="Cuál es el Rango Máximo al que llegó este año? 10" id="174"/>
    <tableColumn name="Cuenta de LoL 13" id="175"/>
    <tableColumn name="Perfil de op.gg o tracker.gg (link)   22" id="176"/>
    <tableColumn name="El JUGADOR juega activamente en LAS? 3" id="177"/>
    <tableColumn name="Cuenta PRINCIPAL de LoL 7" id="178"/>
    <tableColumn name="Perfil de op.gg o tracker.gg (link)   23" id="179"/>
    <tableColumn name="Cuenta PRINCIPAL de LoL 8" id="180"/>
    <tableColumn name="Perfil de op.gg o tracker.gg (link)   24" id="181"/>
    <tableColumn name="ACEPTACION Y COMPROMISO" id="182"/>
    <tableColumn name="Cual es el motivo por el que están participando en el Torneo?" id="183"/>
    <tableColumn name="Cuál es el Rango Promedio del Equipo?" id="184"/>
    <tableColumn name="A nivel Competitivo, cual es el nivel que creen tener como equipo?" id="185"/>
    <tableColumn name="Estarían de acuerdo en participar en un Torneo de Rango Bajo?" id="186"/>
    <tableColumn name="En el caso de tener un TRB, estarían dispuestos a competir por Perifericos? [Teclado]" id="187"/>
    <tableColumn name="En el caso de tener un TRB, estarían dispuestos a competir por Perifericos? [Mouse/Ratón]" id="188"/>
    <tableColumn name="En el caso de tener un TRB, estarían dispuestos a competir por Perifericos? [Audifonos]" id="189"/>
    <tableColumn name="En el caso de tener un TRB, estarían dispuestos a competir por Perifericos? [Mousepad]" id="190"/>
    <tableColumn name="El equipo ya fue Invitado a algún Tier en la LBL?" id="191"/>
    <tableColumn name="Al continuar el registro están de acuerdo que Renuncian a la invitacion de la LBL?" id="192"/>
    <tableColumn name="El equipo por Registrarse tiene algún Jugador Extranjero?" id="193"/>
    <tableColumn name="Cual es el Rol que cumple dentro el Equipo?" id="194"/>
    <tableColumn name="VIVENCIA" id="195"/>
    <tableColumn name="Columna 190" id="196"/>
    <tableColumn name="Columna 190 2" id="197"/>
    <tableColumn name="Tenemos unas preguntas más que nos pueden ayudar a futuro para organizar los Torneos._x000a_Está de acuerdo en continuar con la encuesta antes de terminar la inscripción?" id="198"/>
    <tableColumn name="Columna 186" id="199"/>
    <tableColumn name="Según la cantidad de equipos registrados. Estarían de acuerdo en participar " id="200"/>
    <tableColumn name="Columna 85" id="201"/>
    <tableColumn name="Columna 85 2" id="202"/>
    <tableColumn name="Cuenta Principal de LoL" id="203"/>
    <tableColumn name="Perfil de op.gg o tracker.gg de la Cuenta Principal (link)  " id="204"/>
    <tableColumn name="Columna 85 3" id="205"/>
    <tableColumn name="JUEGA alguna otra Linea aparte de JUNGLA? 2" id="206"/>
    <tableColumn name="Columna 59" id="207"/>
    <tableColumn name="Columna 53" id="208"/>
  </tableColumns>
  <tableStyleInfo name="Respuestas de formulario 1-style" showColumnStripes="0" showFirstColumn="1" showLastColumn="1" showRowStripes="1"/>
</table>
</file>

<file path=xl/tables/table2.xml><?xml version="1.0" encoding="utf-8"?>
<table xmlns="http://schemas.openxmlformats.org/spreadsheetml/2006/main" headerRowCount="0" ref="B60:BF60" displayName="Table_1" name="Table_1" id="2">
  <tableColumns count="5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</tableColumns>
  <tableStyleInfo name="Respuestas de formulario 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64:Q65" displayName="Table_2" name="Table_2" id="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spuestas de formulario 1-style 3" showColumnStripes="0" showFirstColumn="1" showLastColumn="1" showRowStripes="1"/>
</table>
</file>

<file path=xl/tables/table4.xml><?xml version="1.0" encoding="utf-8"?>
<table xmlns="http://schemas.openxmlformats.org/spreadsheetml/2006/main" headerRowCount="0" ref="B257:G267" displayName="Table_3" name="Table_3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istas-style" showColumnStripes="0" showFirstColumn="1" showLastColumn="1" showRowStripes="1"/>
</table>
</file>

<file path=xl/tables/table5.xml><?xml version="1.0" encoding="utf-8"?>
<table xmlns="http://schemas.openxmlformats.org/spreadsheetml/2006/main" headerRowCount="0" ref="L257:M257" displayName="Table_4" name="Table_4" id="5">
  <tableColumns count="2">
    <tableColumn name="Column1" id="1"/>
    <tableColumn name="Column2" id="2"/>
  </tableColumns>
  <tableStyleInfo name="Listas-style 2" showColumnStripes="0" showFirstColumn="1" showLastColumn="1" showRowStripes="1"/>
</table>
</file>

<file path=xl/tables/table6.xml><?xml version="1.0" encoding="utf-8"?>
<table xmlns="http://schemas.openxmlformats.org/spreadsheetml/2006/main" headerRowCount="0" ref="M264:O264" displayName="Table_5" name="Table_5" id="6">
  <tableColumns count="3">
    <tableColumn name="Column1" id="1"/>
    <tableColumn name="Column2" id="2"/>
    <tableColumn name="Column3" id="3"/>
  </tableColumns>
  <tableStyleInfo name="Listas-style 3" showColumnStripes="0" showFirstColumn="1" showLastColumn="1" showRowStripes="1"/>
</table>
</file>

<file path=xl/tables/table7.xml><?xml version="1.0" encoding="utf-8"?>
<table xmlns="http://schemas.openxmlformats.org/spreadsheetml/2006/main" headerRowCount="0" ref="M270:N270" displayName="Table_6" name="Table_6" id="7">
  <tableColumns count="2">
    <tableColumn name="Column1" id="1"/>
    <tableColumn name="Column2" id="2"/>
  </tableColumns>
  <tableStyleInfo name="Listas-style 4" showColumnStripes="0" showFirstColumn="1" showLastColumn="1" showRowStripes="1"/>
</table>
</file>

<file path=xl/tables/table8.xml><?xml version="1.0" encoding="utf-8"?>
<table xmlns="http://schemas.openxmlformats.org/spreadsheetml/2006/main" headerRowCount="0" ref="P270" displayName="Table_7" name="Table_7" id="8">
  <tableColumns count="1">
    <tableColumn name="Column1" id="1"/>
  </tableColumns>
  <tableStyleInfo name="Listas-style 5" showColumnStripes="0" showFirstColumn="1" showLastColumn="1" showRowStripes="1"/>
</table>
</file>

<file path=xl/tables/table9.xml><?xml version="1.0" encoding="utf-8"?>
<table xmlns="http://schemas.openxmlformats.org/spreadsheetml/2006/main" headerRowCount="0" ref="Q270:R270" displayName="Table_8" name="Table_8" id="9">
  <tableColumns count="2">
    <tableColumn name="Column1" id="1"/>
    <tableColumn name="Column2" id="2"/>
  </tableColumns>
  <tableStyleInfo name="Listas-style 6" showColumnStripes="0" showFirstColumn="1" showLastColumn="1" showRowStripes="1"/>
</table>
</file>

<file path=xl/tables/table10.xml><?xml version="1.0" encoding="utf-8"?>
<table xmlns="http://schemas.openxmlformats.org/spreadsheetml/2006/main" headerRowCount="0" ref="M281:O281" displayName="Table_9" name="Table_9" id="10">
  <tableColumns count="3">
    <tableColumn name="Column1" id="1"/>
    <tableColumn name="Column2" id="2"/>
    <tableColumn name="Column3" id="3"/>
  </tableColumns>
  <tableStyleInfo name="Listas-style 7" showColumnStripes="0" showFirstColumn="1" showLastColumn="1" showRowStripes="1"/>
</table>
</file>

<file path=xl/tables/table11.xml><?xml version="1.0" encoding="utf-8"?>
<table xmlns="http://schemas.openxmlformats.org/spreadsheetml/2006/main" headerRowCount="0" ref="P281" displayName="Table_10" name="Table_10" id="11">
  <tableColumns count="1">
    <tableColumn name="Column1" id="1"/>
  </tableColumns>
  <tableStyleInfo name="Listas-style 8" showColumnStripes="0" showFirstColumn="1" showLastColumn="1" showRowStripes="1"/>
</table>
</file>

<file path=xl/tables/table12.xml><?xml version="1.0" encoding="utf-8"?>
<table xmlns="http://schemas.openxmlformats.org/spreadsheetml/2006/main" headerRowCount="0" ref="Q281:R281" displayName="Table_11" name="Table_11" id="12">
  <tableColumns count="2">
    <tableColumn name="Column1" id="1"/>
    <tableColumn name="Column2" id="2"/>
  </tableColumns>
  <tableStyleInfo name="Listas-style 9" showColumnStripes="0" showFirstColumn="1" showLastColumn="1" showRowStripes="1"/>
</table>
</file>

<file path=xl/tables/table13.xml><?xml version="1.0" encoding="utf-8"?>
<table xmlns="http://schemas.openxmlformats.org/spreadsheetml/2006/main" headerRowCount="0" ref="C284:R285" displayName="Table_12" name="Table_12" id="1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Listas-style 10" showColumnStripes="0" showFirstColumn="1" showLastColumn="1" showRowStripes="1"/>
</table>
</file>

<file path=xl/tables/table14.xml><?xml version="1.0" encoding="utf-8"?>
<table xmlns="http://schemas.openxmlformats.org/spreadsheetml/2006/main" headerRowCount="0" ref="L290:M290" displayName="Table_13" name="Table_13" id="14">
  <tableColumns count="2">
    <tableColumn name="Column1" id="1"/>
    <tableColumn name="Column2" id="2"/>
  </tableColumns>
  <tableStyleInfo name="Listas-style 11" showColumnStripes="0" showFirstColumn="1" showLastColumn="1" showRowStripes="1"/>
</table>
</file>

<file path=xl/tables/table15.xml><?xml version="1.0" encoding="utf-8"?>
<table xmlns="http://schemas.openxmlformats.org/spreadsheetml/2006/main" headerRowCount="0" ref="C292:E292" displayName="Table_14" name="Table_14" id="15">
  <tableColumns count="3">
    <tableColumn name="Column1" id="1"/>
    <tableColumn name="Column2" id="2"/>
    <tableColumn name="Column3" id="3"/>
  </tableColumns>
  <tableStyleInfo name="Listas-style 12" showColumnStripes="0" showFirstColumn="1" showLastColumn="1" showRowStripes="1"/>
</table>
</file>

<file path=xl/tables/table16.xml><?xml version="1.0" encoding="utf-8"?>
<table xmlns="http://schemas.openxmlformats.org/spreadsheetml/2006/main" headerRowCount="0" ref="F292:F293" displayName="Table_15" name="Table_15" id="16">
  <tableColumns count="1">
    <tableColumn name="Column1" id="1"/>
  </tableColumns>
  <tableStyleInfo name="Listas-style 13" showColumnStripes="0" showFirstColumn="1" showLastColumn="1" showRowStripes="1"/>
</table>
</file>

<file path=xl/tables/table17.xml><?xml version="1.0" encoding="utf-8"?>
<table xmlns="http://schemas.openxmlformats.org/spreadsheetml/2006/main" headerRowCount="0" ref="G292" displayName="Table_16" name="Table_16" id="17">
  <tableColumns count="1">
    <tableColumn name="Column1" id="1"/>
  </tableColumns>
  <tableStyleInfo name="Listas-style 14" showColumnStripes="0" showFirstColumn="1" showLastColumn="1" showRowStripes="1"/>
</table>
</file>

<file path=xl/tables/table18.xml><?xml version="1.0" encoding="utf-8"?>
<table xmlns="http://schemas.openxmlformats.org/spreadsheetml/2006/main" headerRowCount="0" ref="M292:O294" displayName="Table_17" name="Table_17" id="18">
  <tableColumns count="3">
    <tableColumn name="Column1" id="1"/>
    <tableColumn name="Column2" id="2"/>
    <tableColumn name="Column3" id="3"/>
  </tableColumns>
  <tableStyleInfo name="Listas-style 15" showColumnStripes="0" showFirstColumn="1" showLastColumn="1" showRowStripes="1"/>
</table>
</file>

<file path=xl/tables/table19.xml><?xml version="1.0" encoding="utf-8"?>
<table xmlns="http://schemas.openxmlformats.org/spreadsheetml/2006/main" headerRowCount="0" ref="P292:P294" displayName="Table_18" name="Table_18" id="19">
  <tableColumns count="1">
    <tableColumn name="Column1" id="1"/>
  </tableColumns>
  <tableStyleInfo name="Listas-style 16" showColumnStripes="0" showFirstColumn="1" showLastColumn="1" showRowStripes="1"/>
</table>
</file>

<file path=xl/tables/table20.xml><?xml version="1.0" encoding="utf-8"?>
<table xmlns="http://schemas.openxmlformats.org/spreadsheetml/2006/main" headerRowCount="0" ref="Q292:Q294" displayName="Table_19" name="Table_19" id="20">
  <tableColumns count="1">
    <tableColumn name="Column1" id="1"/>
  </tableColumns>
  <tableStyleInfo name="Listas-style 17" showColumnStripes="0" showFirstColumn="1" showLastColumn="1" showRowStripes="1"/>
</table>
</file>

<file path=xl/tables/table21.xml><?xml version="1.0" encoding="utf-8"?>
<table xmlns="http://schemas.openxmlformats.org/spreadsheetml/2006/main" headerRowCount="0" ref="A295:G296" displayName="Table_20" name="Table_20" id="2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istas-style 18" showColumnStripes="0" showFirstColumn="1" showLastColumn="1" showRowStripes="1"/>
</table>
</file>

<file path=xl/tables/table22.xml><?xml version="1.0" encoding="utf-8"?>
<table xmlns="http://schemas.openxmlformats.org/spreadsheetml/2006/main" headerRowCount="0" ref="K295:R296" displayName="Table_21" name="Table_21" id="2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istas-style 19" showColumnStripes="0" showFirstColumn="1" showLastColumn="1" showRowStripes="1"/>
</table>
</file>

<file path=xl/tables/table23.xml><?xml version="1.0" encoding="utf-8"?>
<table xmlns="http://schemas.openxmlformats.org/spreadsheetml/2006/main" headerRowCount="0" ref="B301:C301" displayName="Table_22" name="Table_22" id="23">
  <tableColumns count="2">
    <tableColumn name="Column1" id="1"/>
    <tableColumn name="Column2" id="2"/>
  </tableColumns>
  <tableStyleInfo name="Listas-style 20" showColumnStripes="0" showFirstColumn="1" showLastColumn="1" showRowStripes="1"/>
</table>
</file>

<file path=xl/tables/table24.xml><?xml version="1.0" encoding="utf-8"?>
<table xmlns="http://schemas.openxmlformats.org/spreadsheetml/2006/main" headerRowCount="0" ref="L301:M301" displayName="Table_23" name="Table_23" id="24">
  <tableColumns count="2">
    <tableColumn name="Column1" id="1"/>
    <tableColumn name="Column2" id="2"/>
  </tableColumns>
  <tableStyleInfo name="Listas-style 21" showColumnStripes="0" showFirstColumn="1" showLastColumn="1" showRowStripes="1"/>
</table>
</file>

<file path=xl/tables/table25.xml><?xml version="1.0" encoding="utf-8"?>
<table xmlns="http://schemas.openxmlformats.org/spreadsheetml/2006/main" headerRowCount="0" ref="C303:D308" displayName="Table_24" name="Table_24" id="25">
  <tableColumns count="2">
    <tableColumn name="Column1" id="1"/>
    <tableColumn name="Column2" id="2"/>
  </tableColumns>
  <tableStyleInfo name="Listas-style 22" showColumnStripes="0" showFirstColumn="1" showLastColumn="1" showRowStripes="1"/>
</table>
</file>

<file path=xl/tables/table26.xml><?xml version="1.0" encoding="utf-8"?>
<table xmlns="http://schemas.openxmlformats.org/spreadsheetml/2006/main" headerRowCount="0" ref="F303:F307" displayName="Table_25" name="Table_25" id="26">
  <tableColumns count="1">
    <tableColumn name="Column1" id="1"/>
  </tableColumns>
  <tableStyleInfo name="Listas-style 23" showColumnStripes="0" showFirstColumn="1" showLastColumn="1" showRowStripes="1"/>
</table>
</file>

<file path=xl/tables/table27.xml><?xml version="1.0" encoding="utf-8"?>
<table xmlns="http://schemas.openxmlformats.org/spreadsheetml/2006/main" headerRowCount="0" ref="G303:H307" displayName="Table_26" name="Table_26" id="27">
  <tableColumns count="2">
    <tableColumn name="Column1" id="1"/>
    <tableColumn name="Column2" id="2"/>
  </tableColumns>
  <tableStyleInfo name="Listas-style 24" showColumnStripes="0" showFirstColumn="1" showLastColumn="1" showRowStripes="1"/>
</table>
</file>

<file path=xl/tables/table28.xml><?xml version="1.0" encoding="utf-8"?>
<table xmlns="http://schemas.openxmlformats.org/spreadsheetml/2006/main" headerRowCount="0" ref="M303:N307" displayName="Table_27" name="Table_27" id="28">
  <tableColumns count="2">
    <tableColumn name="Column1" id="1"/>
    <tableColumn name="Column2" id="2"/>
  </tableColumns>
  <tableStyleInfo name="Listas-style 25" showColumnStripes="0" showFirstColumn="1" showLastColumn="1" showRowStripes="1"/>
</table>
</file>

<file path=xl/tables/table29.xml><?xml version="1.0" encoding="utf-8"?>
<table xmlns="http://schemas.openxmlformats.org/spreadsheetml/2006/main" headerRowCount="0" ref="P303:P307" displayName="Table_28" name="Table_28" id="29">
  <tableColumns count="1">
    <tableColumn name="Column1" id="1"/>
  </tableColumns>
  <tableStyleInfo name="Listas-style 26" showColumnStripes="0" showFirstColumn="1" showLastColumn="1" showRowStripes="1"/>
</table>
</file>

<file path=xl/tables/table30.xml><?xml version="1.0" encoding="utf-8"?>
<table xmlns="http://schemas.openxmlformats.org/spreadsheetml/2006/main" headerRowCount="0" ref="Q303:R307" displayName="Table_29" name="Table_29" id="30">
  <tableColumns count="2">
    <tableColumn name="Column1" id="1"/>
    <tableColumn name="Column2" id="2"/>
  </tableColumns>
  <tableStyleInfo name="Listas-style 27" showColumnStripes="0" showFirstColumn="1" showLastColumn="1" showRowStripes="1"/>
</table>
</file>

<file path=xl/tables/table31.xml><?xml version="1.0" encoding="utf-8"?>
<table xmlns="http://schemas.openxmlformats.org/spreadsheetml/2006/main" headerRowCount="0" ref="B312:BE321" displayName="Table_30" name="Table_30" id="31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Listas-style 2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R41" dT="2025-09-23T02:20:27.00" personId="{27d55be0-206e-4f53-bd96-fcb6a99e1b32}" id="{1fc1d969-0ff8-42a4-85a1-7a7cfc800900}" done="0">
    <x18tc:text xml:space="preserve">No juega adc, tiene pocas partidas recientes.</x18tc:text>
  </x18tc:threadedComment>
  <x18tc:threadedComment ref="AI18" dT="2025-09-22T22:53:54.00" personId="{27d55be0-206e-4f53-bd96-fcb6a99e1b32}" id="{5f860c69-d528-4b1d-8224-cedb881028b0}" done="0">
    <x18tc:text xml:space="preserve">Pedir su cuenta principal</x18tc:text>
  </x18tc:threadedComment>
  <x18tc:threadedComment ref="L49" dT="2025-09-23T06:55:36.00" personId="{27d55be0-206e-4f53-bd96-fcb6a99e1b32}" id="{bcc20891-126c-4eb3-bb1a-f7897601476b}" done="0">
    <x18tc:text xml:space="preserve">La cuenta es main adc</x18tc:text>
  </x18tc:threadedComment>
  <x18tc:threadedComment ref="BA14" dT="2025-09-23T03:09:31.00" personId="{27d55be0-206e-4f53-bd96-fcb6a99e1b32}" id="{1845e624-8480-4bf6-abce-bb8668a8c7a7}" done="0">
    <x18tc:text xml:space="preserve">Pedir cuenta Principal.</x18tc:text>
  </x18tc:threadedComment>
  <x18tc:threadedComment ref="AI19" dT="2025-09-22T22:54:59.00" personId="{27d55be0-206e-4f53-bd96-fcb6a99e1b32}" id="{156325c1-8808-484a-b4cf-81487fbcc96e}" done="0">
    <x18tc:text xml:space="preserve">La cuenta no es main mid</x18tc:text>
  </x18tc:threadedComment>
  <x18tc:threadedComment ref="Q46" dT="2025-09-23T06:51:56.00" personId="{27d55be0-206e-4f53-bd96-fcb6a99e1b32}" id="{e61feff3-2686-4e74-a6d9-ef5c0a54b405}" done="0">
    <x18tc:text xml:space="preserve">Tiene muy pocas partidas en la cuenta</x18tc:text>
  </x18tc:threadedComment>
  <x18tc:threadedComment ref="AR39" dT="2025-09-23T02:13:25.00" personId="{27d55be0-206e-4f53-bd96-fcb6a99e1b32}" id="{c64fce93-9a92-4966-93ce-575bae840cec}" done="0">
    <x18tc:text xml:space="preserve">La cuenta no tiene partidas</x18tc:text>
  </x18tc:threadedComment>
  <x18tc:threadedComment ref="Q48" dT="2025-09-23T06:54:35.00" personId="{27d55be0-206e-4f53-bd96-fcb6a99e1b32}" id="{b52090f8-2f74-4324-b758-6a33ddd571ae}" done="0">
    <x18tc:text xml:space="preserve">Todo en orden pero hacer seguimiento en caso de smurf</x18tc:text>
  </x18tc:threadedComment>
  <x18tc:threadedComment ref="AR52" dT="2025-09-23T03:07:53.00" personId="{27d55be0-206e-4f53-bd96-fcb6a99e1b32}" id="{2d808bcf-244f-42c9-9c36-80c7fbafc74f}" done="0">
    <x18tc:text xml:space="preserve">Pedir cuenta principal</x18tc:text>
  </x18tc:threadedComment>
  <x18tc:threadedComment ref="AI15" dT="2025-09-22T22:52:30.00" personId="{27d55be0-206e-4f53-bd96-fcb6a99e1b32}" id="{fe83a68f-1db9-44d7-bb41-e196e8142652}" done="0">
    <x18tc:text xml:space="preserve">Cuenta main soporte</x18tc:text>
  </x18tc:threadedComment>
  <x18tc:threadedComment ref="BA25" dT="2025-09-23T03:27:32.00" personId="{27d55be0-206e-4f53-bd96-fcb6a99e1b32}" id="{549285b7-4e27-484d-b200-58942eb92ef0}" done="0">
    <x18tc:text xml:space="preserve">Pedir su cuenta principal</x18tc:text>
  </x18tc:threadedComment>
  <x18tc:threadedComment ref="AR43" dT="2025-09-23T02:30:04.00" personId="{27d55be0-206e-4f53-bd96-fcb6a99e1b32}" id="{14996596-0a57-4d73-bb00-e793485d8cd7}" done="0">
    <x18tc:text xml:space="preserve">la cuenta no juega adc</x18tc:text>
  </x18tc:threadedComment>
  <x18tc:threadedComment ref="AR45" dT="2025-09-23T02:32:04.00" personId="{27d55be0-206e-4f53-bd96-fcb6a99e1b32}" id="{44713f0e-1e81-4af6-a62e-edcf908a90fd}" done="0">
    <x18tc:text xml:space="preserve">La cuenta no juega adc</x18tc:text>
  </x18tc:threadedComment>
  <x18tc:threadedComment ref="BA15" dT="2025-09-23T03:10:25.00" personId="{27d55be0-206e-4f53-bd96-fcb6a99e1b32}" id="{85d7ece0-b96a-49a9-8ddd-10d6f0e7da98}" done="0">
    <x18tc:text xml:space="preserve">Cuenta no tiene partidas de soporte</x18tc:text>
  </x18tc:threadedComment>
  <x18tc:threadedComment ref="BA30" dT="2025-09-23T03:42:44.00" personId="{27d55be0-206e-4f53-bd96-fcb6a99e1b32}" id="{684b1793-5f88-40f1-be4b-ce7af69b7d92}" done="0">
    <x18tc:text xml:space="preserve">Tiene partidas recientes de soporte.</x18tc:text>
  </x18tc:threadedComment>
  <x18tc:threadedComment ref="X39" dT="2025-09-22T22:49:12.00" personId="{27d55be0-206e-4f53-bd96-fcb6a99e1b32}" id="{53de586d-6b09-40db-9353-5cc66c6659a6}" done="0">
    <x18tc:text xml:space="preserve">Yo lo corregí</x18tc:text>
  </x18tc:threadedComment>
  <x18tc:threadedComment ref="BA18" dT="2025-09-23T03:14:22.00" personId="{27d55be0-206e-4f53-bd96-fcb6a99e1b32}" id="{27e5755d-506a-4e98-a3ed-10278313ae5b}" done="0">
    <x18tc:text xml:space="preserve">La cuenta no tiene partidas de Soporte</x18tc:text>
  </x18tc:threadedComment>
  <x18tc:threadedComment ref="AG28" dT="2025-09-23T20:26:22.00" personId="{27d55be0-206e-4f53-bd96-fcb6a99e1b32}" id="{b7a498f7-dba1-4d65-b4e6-4a47d76d29e0}" done="0">
    <x18tc:text xml:space="preserve">Cuenta main, correcta</x18tc:text>
  </x18tc:threadedComment>
  <x18tc:threadedComment ref="BA33" dT="2025-09-23T03:48:05.00" personId="{27d55be0-206e-4f53-bd96-fcb6a99e1b32}" id="{357702f1-c13b-4413-aba0-8334f1e7e139}" done="0">
    <x18tc:text xml:space="preserve">Esta cuenta no juega Soporte</x18tc:text>
  </x18tc:threadedComment>
  <x18tc:threadedComment ref="Z39" dT="2025-09-22T22:49:34.00" personId="{27d55be0-206e-4f53-bd96-fcb6a99e1b32}" id="{439eceef-19b8-4071-ad5a-623a8622076c}" done="0">
    <x18tc:text xml:space="preserve">Esta cuenta no juega JG, ni mucho menos sus secundarias</x18tc:text>
  </x18tc:threadedComment>
  <x18tc:threadedComment ref="BA19" dT="2025-09-23T03:15:48.00" personId="{27d55be0-206e-4f53-bd96-fcb6a99e1b32}" id="{2af38c0e-d688-4006-9b51-0ba7e6ce6a69}" done="0">
    <x18tc:text xml:space="preserve">La cuenta no juega soporte</x18tc:text>
  </x18tc:threadedComment>
  <x18tc:threadedComment ref="AI28" dT="2025-09-23T20:26:08.00" personId="{27d55be0-206e-4f53-bd96-fcb6a99e1b32}" id="{934a8724-e281-45ce-8c9a-87695c62261f}" done="0">
    <x18tc:text xml:space="preserve">La cuenta juega más Soporte que Adc</x18tc:text>
  </x18tc:threadedComment>
  <x18tc:threadedComment ref="X37" dT="2025-09-22T22:47:25.00" personId="{27d55be0-206e-4f53-bd96-fcb6a99e1b32}" id="{363e4165-9b7d-4020-b9b6-88a98ad37f61}" done="0">
    <x18tc:text xml:space="preserve">Yo lo llené</x18tc:text>
  </x18tc:threadedComment>
  <x18tc:threadedComment ref="BA27" dT="2025-09-23T03:37:31.00" personId="{27d55be0-206e-4f53-bd96-fcb6a99e1b32}" id="{060e1ba0-0f41-4c00-937c-884a99503ad4}" done="0">
    <x18tc:text xml:space="preserve">Esta cuenta No juega soporte</x18tc:text>
  </x18tc:threadedComment>
  <x18tc:threadedComment ref="Y37" dT="2025-09-22T22:47:54.00" personId="{27d55be0-206e-4f53-bd96-fcb6a99e1b32}" id="{8f0575af-2f0a-47cb-aeed-7db7872c2afe}" done="0">
    <x18tc:text xml:space="preserve">No corresponde al rango de la cuenta</x18tc:text>
  </x18tc:threadedComment>
  <x18tc:threadedComment ref="BA41" dT="2025-09-23T04:30:22.00" personId="{27d55be0-206e-4f53-bd96-fcb6a99e1b32}" id="{7e8e6f23-ec53-404c-a1b1-005f7e07b62e}" done="0">
    <x18tc:text xml:space="preserve">Cuenta no corresponde al rango</x18tc:text>
  </x18tc:threadedComment>
  <x18tc:threadedComment ref="BA34" dT="2025-09-23T03:50:47.00" personId="{27d55be0-206e-4f53-bd96-fcb6a99e1b32}" id="{ee0b1e48-0976-4b02-a8b3-781dc6255119}" done="0">
    <x18tc:text xml:space="preserve">Esta cuenta juega mucho aram</x18tc:text>
  </x18tc:threadedComment>
  <x18tc:threadedComment ref="BA35" dT="2025-09-23T03:54:47.00" personId="{27d55be0-206e-4f53-bd96-fcb6a99e1b32}" id="{6ccbd001-4d42-4e51-86e1-6c77323a25a4}" done="0">
    <x18tc:text xml:space="preserve">Esta cuenta no Juega soporte</x18tc:text>
  </x18tc:threadedComment>
  <x18tc:threadedComment ref="AI49" dT="2025-09-23T06:12:30.00" personId="{27d55be0-206e-4f53-bd96-fcb6a99e1b32}" id="{291be4f0-15f3-48f4-91da-bf077306d853}" done="0">
    <x18tc:text xml:space="preserve">Pedir cuenta principal</x18tc:text>
  </x18tc:threadedComment>
  <x18tc:threadedComment ref="BA52" dT="2025-09-23T05:53:48.00" personId="{27d55be0-206e-4f53-bd96-fcb6a99e1b32}" id="{dbd99ec8-307d-45f6-aa10-3054a76a67ca}" done="0">
    <x18tc:text xml:space="preserve">Pedir su cuenta principal</x18tc:text>
  </x18tc:threadedComment>
  <x18tc:threadedComment ref="AI51" dT="2025-09-23T06:15:12.00" personId="{27d55be0-206e-4f53-bd96-fcb6a99e1b32}" id="{4f41dc24-4690-4ee8-9559-eff5080a89e4}" done="0">
    <x18tc:text xml:space="preserve">Pedir cuenta principal, esta cuenta es main adc</x18tc:text>
  </x18tc:threadedComment>
  <x18tc:threadedComment ref="Q50" dT="2025-09-23T06:58:40.00" personId="{27d55be0-206e-4f53-bd96-fcb6a99e1b32}" id="{f971efa5-53c9-4a63-97f9-501f5120ea18}" done="0">
    <x18tc:text xml:space="preserve">La cuenta es main adc, confirmar cuenta principal</x18tc:text>
  </x18tc:threadedComment>
  <x18tc:threadedComment ref="AR47" dT="2025-09-23T02:33:41.00" personId="{27d55be0-206e-4f53-bd96-fcb6a99e1b32}" id="{e2de6ab3-44cb-4ff1-b713-bb8161dd736f}" done="0">
    <x18tc:text xml:space="preserve">La cuenta no juega adc</x18tc:text>
  </x18tc:threadedComment>
  <x18tc:threadedComment ref="AR18" dT="2025-09-23T01:20:16.00" personId="{27d55be0-206e-4f53-bd96-fcb6a99e1b32}" id="{233f73ab-2a23-487f-8c40-a08d31905252}" done="1">
    <x18tc:text xml:space="preserve">Pedir cuenta principal</x18tc:text>
  </x18tc:threadedComment>
  <x18tc:threadedComment ref="AI37" dT="2025-09-23T00:51:57.00" personId="{27d55be0-206e-4f53-bd96-fcb6a99e1b32}" id="{ca67cf35-651b-41fa-9a8d-cddb84ab2567}" done="0">
    <x18tc:text xml:space="preserve">Pedir la cuenta de lan</x18tc:text>
  </x18tc:threadedComment>
  <x18tc:threadedComment ref="AI48" dT="2025-09-23T06:11:23.00" personId="{27d55be0-206e-4f53-bd96-fcb6a99e1b32}" id="{e27f9a03-3de6-458b-b426-c33cb7ee720f}" done="0">
    <x18tc:text xml:space="preserve">Muy probablemente sea smurf</x18tc:text>
  </x18tc:threadedComment>
  <x18tc:threadedComment ref="Q49" dT="2025-09-23T06:56:24.00" personId="{27d55be0-206e-4f53-bd96-fcb6a99e1b32}" id="{19b1803d-67fc-4c9f-bdb4-739c62c079fa}" done="0">
    <x18tc:text xml:space="preserve">La cuenta juega top y adc pero menciona que no flexea linea</x18tc:text>
  </x18tc:threadedComment>
  <x18tc:threadedComment ref="Z52" dT="2025-09-23T06:41:58.00" personId="{27d55be0-206e-4f53-bd96-fcb6a99e1b32}" id="{4145c026-95ee-4212-b995-3b72a9c47413}" done="0">
    <x18tc:text xml:space="preserve">No coincide con elo mencionado. Verificar cuenta</x18tc:text>
  </x18tc:threadedComment>
  <x18tc:threadedComment ref="AI53" dT="2025-09-23T06:17:10.00" personId="{27d55be0-206e-4f53-bd96-fcb6a99e1b32}" id="{0ae3bb0f-1d96-4fcd-a838-428458a7725a}" done="0">
    <x18tc:text xml:space="preserve">Esta cuenta no tiene partidas jugadas, pedir cuenta principal</x18tc:text>
  </x18tc:threadedComment>
  <x18tc:threadedComment ref="Z53" dT="2025-09-23T06:43:52.00" personId="{27d55be0-206e-4f53-bd96-fcb6a99e1b32}" id="{15fc76eb-188a-4f43-9856-a5d4b8ec1dc5}" done="0">
    <x18tc:text xml:space="preserve">No coincide con el elo mencionado. Verificar cuenta</x18tc:text>
  </x18tc:threadedComment>
  <x18tc:threadedComment ref="AR35" dT="2025-09-23T01:44:54.00" personId="{27d55be0-206e-4f53-bd96-fcb6a99e1b32}" id="{de9c55c1-828e-4f64-93f5-94d2e0771514}" done="0">
    <x18tc:text xml:space="preserve">Pedir su cuenta personal.</x18tc:text>
  </x18tc:threadedComment>
  <x18tc:threadedComment ref="AI52" dT="2025-09-23T06:16:34.00" personId="{27d55be0-206e-4f53-bd96-fcb6a99e1b32}" id="{fdcffa71-ccb4-4cdc-86dd-e929bcb348b4}" done="0">
    <x18tc:text xml:space="preserve">Pedir cuenta principal, esta cuenta es main top</x18tc:text>
  </x18tc:threadedComment>
  <x18tc:threadedComment ref="X51" dT="2025-09-23T06:40:48.00" personId="{27d55be0-206e-4f53-bd96-fcb6a99e1b32}" id="{05ac6c49-7d9b-4660-8b50-a2973d844bca}" done="0">
    <x18tc:text xml:space="preserve">Esta es su cuenta main de lan, esta bien.</x18tc:text>
  </x18tc:threadedComment>
  <x18tc:threadedComment ref="Z43" dT="2025-09-23T02:00:59.00" personId="{27d55be0-206e-4f53-bd96-fcb6a99e1b32}" id="{6965dc1b-6bb6-46e3-a039-6916dfea8b8c}" done="0">
    <x18tc:text xml:space="preserve">La cuenta esta sin partidas recientes. Pedir cuenta principal</x18tc:text>
  </x18tc:threadedComment>
  <x18tc:threadedComment ref="BA21" dT="2025-09-23T03:22:56.00" personId="{27d55be0-206e-4f53-bd96-fcb6a99e1b32}" id="{f0fea651-f065-496b-8808-bb994812c84e}" done="0">
    <x18tc:text xml:space="preserve">La cuenta no tiene partidas jugadas</x18tc:text>
  </x18tc:threadedComment>
  <x18tc:threadedComment ref="Q41" dT="2025-09-23T06:45:39.00" personId="{27d55be0-206e-4f53-bd96-fcb6a99e1b32}" id="{7c1a9733-b412-42c3-9626-ed83e89d101b}" done="0">
    <x18tc:text xml:space="preserve">Tiene pocas partidas recientes. Verificar cuenta</x18tc:text>
  </x18tc:threadedComment>
  <x18tc:threadedComment ref="AR23" dT="2025-09-23T01:33:40.00" personId="{27d55be0-206e-4f53-bd96-fcb6a99e1b32}" id="{adde6667-1684-41f4-b0ab-ae3516ba2fd6}" done="0">
    <x18tc:text xml:space="preserve">Pedir cuenta principal</x18tc:text>
  </x18tc:threadedComment>
  <x18tc:threadedComment ref="Z48" dT="2025-09-23T06:23:13.00" personId="{27d55be0-206e-4f53-bd96-fcb6a99e1b32}" id="{167bc1cf-205f-4540-83ef-acfe2f71569a}" done="0">
    <x18tc:text xml:space="preserve">Esta cuenta tiene pocas partidas recientes, confirmar cuenta y hace cuanto tiempo juega lol</x18tc:text>
  </x18tc:threadedComment>
  <x18tc:threadedComment ref="AR18" dT="2025-09-23T01:29:21.00" personId="{27d55be0-206e-4f53-bd96-fcb6a99e1b32}" id="{43c96d28-e151-43e3-80d8-3e2507801527}" done="0">
    <x18tc:text xml:space="preserve">Pedir cuenta principal</x18tc:text>
  </x18tc:threadedComment>
  <x18tc:threadedComment ref="Z42" dT="2025-09-23T01:59:29.00" personId="{27d55be0-206e-4f53-bd96-fcb6a99e1b32}" id="{fb3677ec-fb88-48d0-bacf-5d65bc83560c}" done="0">
    <x18tc:text xml:space="preserve">La cuenta no juega JG. Si tiene partidas recientes de JG</x18tc:text>
  </x18tc:threadedComment>
  <x18tc:threadedComment ref="AR19" dT="2025-09-23T01:31:15.00" personId="{27d55be0-206e-4f53-bd96-fcb6a99e1b32}" id="{ff50631e-71bc-4c20-b7a9-4ef859a79500}" done="0">
    <x18tc:text xml:space="preserve">No corresponde cuenta Peak elo.</x18tc:text>
  </x18tc:threadedComment>
  <x18tc:threadedComment ref="Q42" dT="2025-09-23T06:46:33.00" personId="{27d55be0-206e-4f53-bd96-fcb6a99e1b32}" id="{08feb454-5ac2-4d00-b5dd-a1c59aa2ccb9}" done="0">
    <x18tc:text xml:space="preserve">Pedir cuenta principal</x18tc:text>
  </x18tc:threadedComment>
  <x18tc:threadedComment ref="Q44" dT="2025-09-23T06:49:02.00" personId="{27d55be0-206e-4f53-bd96-fcb6a99e1b32}" id="{aa69bf9d-7e99-45f7-88e9-53cab6d5654a}" done="0">
    <x18tc:text xml:space="preserve">Puros arams y arena en la cuenta. Hacer seguimiento durante el torneo</x18tc:text>
  </x18tc:threadedComment>
  <x18tc:threadedComment ref="AR37" dT="2025-09-23T02:12:43.00" personId="{27d55be0-206e-4f53-bd96-fcb6a99e1b32}" id="{44f29a0d-17d9-428f-8639-41d0a0cb655d}" done="0">
    <x18tc:text xml:space="preserve">La cuenta no juega adc. Tiene partidas recientes de adc</x18tc:text>
  </x18tc:threadedComment>
  <x18tc:threadedComment ref="Q51" dT="2025-09-23T06:59:23.00" personId="{27d55be0-206e-4f53-bd96-fcb6a99e1b32}" id="{be34a03d-b4c0-4ec7-beb7-8b8c8e375e0d}" done="0">
    <x18tc:text xml:space="preserve">Pedir cuenta principal</x18tc:text>
  </x18tc:threadedComment>
  <x18tc:threadedComment ref="BA53" dT="2025-09-23T06:02:34.00" personId="{27d55be0-206e-4f53-bd96-fcb6a99e1b32}" id="{662ae91d-c527-4354-845d-f667eaa31af3}" done="0">
    <x18tc:text xml:space="preserve">Esta cuenta no mainea soporte.</x18tc:text>
  </x18tc:threadedComment>
  <x18tc:threadedComment ref="Q32" dT="2025-09-22T22:07:48.00" personId="{27d55be0-206e-4f53-bd96-fcb6a99e1b32}" id="{721c7d42-c978-403f-a577-f996d408de28}" done="0">
    <x18tc:text xml:space="preserve">Solo juega normales. Hacer seguimiento.</x18tc:text>
  </x18tc:threadedComment>
  <x18tc:threadedComment ref="Q3" dT="2025-09-23T15:30:39.00" personId="{27d55be0-206e-4f53-bd96-fcb6a99e1b32}" id="{2ad6fad1-1981-4b60-be6a-4a8f23ffd56b}" done="0">
    <x18tc:text xml:space="preserve">Cuenta con partidas recientes de soporte, verificar posicion y su cuenta principal</x18tc:text>
  </x18tc:threadedComment>
  <x18tc:threadedComment ref="O35" dT="2025-09-22T22:11:54.00" personId="{27d55be0-206e-4f53-bd96-fcb6a99e1b32}" id="{909e85a9-50fc-43c6-98e9-3b9d5958a431}" done="0">
    <x18tc:text xml:space="preserve">Yo se lo agregé</x18tc:text>
  </x18tc:threadedComment>
  <x18tc:threadedComment ref="Q10" dT="2025-09-23T15:28:37.00" personId="{27d55be0-206e-4f53-bd96-fcb6a99e1b32}" id="{37f3465a-2a0a-4aa3-990b-bb6822b613d5}" done="0">
    <x18tc:text xml:space="preserve">Cuenta no corresponde al elo. Pedir cuenta principal</x18tc:text>
  </x18tc:threadedComment>
  <x18tc:threadedComment ref="Q30" dT="2025-09-23T15:34:29.00" personId="{27d55be0-206e-4f53-bd96-fcb6a99e1b32}" id="{30f0c397-5435-4973-a4af-80b7b7bf3ebe}" done="0">
    <x18tc:text xml:space="preserve">Pocas partidas recientes y estadisticas sospechosas, pedir cuenta principal</x18tc:text>
  </x18tc:threadedComment>
  <x18tc:threadedComment ref="AY3" dT="2025-09-22T20:32:13.00" personId="{27d55be0-206e-4f53-bd96-fcb6a99e1b32}" id="{9e617c1a-fbfb-4550-94dc-5689c0da9700}" done="0">
    <x18tc:text xml:space="preserve">No corresponde al elo mencionado</x18tc:text>
  </x18tc:threadedComment>
  <x18tc:threadedComment ref="BA46" dT="2025-09-23T04:58:07.00" personId="{27d55be0-206e-4f53-bd96-fcb6a99e1b32}" id="{fc2cd04f-3682-4d00-a8ef-44c911bc2a47}" done="0">
    <x18tc:text xml:space="preserve">Cuenta con pocas partidas recientes</x18tc:text>
  </x18tc:threadedComment>
  <x18tc:threadedComment ref="Q14" dT="2025-09-23T15:33:12.00" personId="{27d55be0-206e-4f53-bd96-fcb6a99e1b32}" id="{e8322989-d524-419e-8c0f-281f1bedae7d}" done="0">
    <x18tc:text xml:space="preserve">Pedir cuenta principal</x18tc:text>
  </x18tc:threadedComment>
  <x18tc:threadedComment ref="AY5" dT="2025-09-22T20:33:53.00" personId="{27d55be0-206e-4f53-bd96-fcb6a99e1b32}" id="{fd54ac01-25ee-4e96-8547-9be1460e050e}" done="0">
    <x18tc:text xml:space="preserve">Linea principal es ADC</x18tc:text>
  </x18tc:threadedComment>
  <x18tc:threadedComment ref="AI54" dT="2025-09-23T17:58:08.00" personId="{27d55be0-206e-4f53-bd96-fcb6a99e1b32}" id="{1185ef47-fe52-49ce-bbca-47a72c934cdf}" done="0">
    <x18tc:text xml:space="preserve">Cuenta main adc, verificar cuenta principal. No coincide con el elo mencionado</x18tc:text>
  </x18tc:threadedComment>
  <x18tc:threadedComment ref="AR53" dT="2025-09-23T06:05:14.00" personId="{27d55be0-206e-4f53-bd96-fcb6a99e1b32}" id="{af744011-81c8-4285-946d-af3cb860d6c4}" done="0">
    <x18tc:text xml:space="preserve">Esta cuenta no juega ADC</x18tc:text>
  </x18tc:threadedComment>
  <x18tc:threadedComment ref="AR16" dT="2025-09-23T01:15:42.00" personId="{27d55be0-206e-4f53-bd96-fcb6a99e1b32}" id="{1f355200-ff82-4a69-8913-c59b641ddb32}" done="0">
    <x18tc:text xml:space="preserve">Pedir cuenta Principal</x18tc:text>
  </x18tc:threadedComment>
  <x18tc:threadedComment ref="O37" dT="2025-09-22T22:13:11.00" personId="{27d55be0-206e-4f53-bd96-fcb6a99e1b32}" id="{4b4316f9-f88d-48cc-ae70-59872067fe44}" done="0">
    <x18tc:text xml:space="preserve">Yo se lo agregué</x18tc:text>
  </x18tc:threadedComment>
  <x18tc:threadedComment ref="Q9" dT="2025-09-23T15:32:19.00" personId="{27d55be0-206e-4f53-bd96-fcb6a99e1b32}" id="{9f647654-3767-46c6-a3fc-2f14a49a4406}" done="0">
    <x18tc:text xml:space="preserve">Pedir cuenta principal</x18tc:text>
  </x18tc:threadedComment>
  <x18tc:threadedComment ref="BA54" dT="2025-09-23T18:00:00.00" personId="{27d55be0-206e-4f53-bd96-fcb6a99e1b32}" id="{d2f8470e-d329-4e59-80ad-d6ea0bc5f488}" done="0">
    <x18tc:text xml:space="preserve">La cuenta es main adc. Hacer seguimiento.</x18tc:text>
  </x18tc:threadedComment>
  <x18tc:threadedComment ref="Q8" dT="2025-09-23T15:31:16.00" personId="{27d55be0-206e-4f53-bd96-fcb6a99e1b32}" id="{3457277a-43ca-4802-a348-e631e549c496}" done="0">
    <x18tc:text xml:space="preserve">La cuenta nunco estuvo en diamante. pedir cuenta principal</x18tc:text>
  </x18tc:threadedComment>
  <x18tc:threadedComment ref="BA49" dT="2025-09-23T05:21:26.00" personId="{27d55be0-206e-4f53-bd96-fcb6a99e1b32}" id="{3e923621-53b4-4c68-9772-7730be76d618}" done="0">
    <x18tc:text xml:space="preserve">La cuenta no es main soporte</x18tc:text>
  </x18tc:threadedComment>
  <x18tc:threadedComment ref="Z50" dT="2025-09-23T06:37:28.00" personId="{27d55be0-206e-4f53-bd96-fcb6a99e1b32}" id="{6ef6df43-a423-4504-8707-c9213dcd5cce}" done="0">
    <x18tc:text xml:space="preserve">Pedir cuenta principal, no coincide con elo mencionado</x18tc:text>
  </x18tc:threadedComment>
  <x18tc:threadedComment ref="AP3" dT="2025-09-22T20:27:44.00" personId="{27d55be0-206e-4f53-bd96-fcb6a99e1b32}" id="{5fcea56e-edfe-4357-aa86-ce28a1d3e30d}" done="0">
    <x18tc:text xml:space="preserve">La cuenta no corresponde a GM</x18tc:text>
  </x18tc:threadedComment>
  <x18tc:threadedComment ref="AG35" dT="2025-09-23T00:43:26.00" personId="{27d55be0-206e-4f53-bd96-fcb6a99e1b32}" id="{b7be2e31-1591-47f4-b85f-628665743b1a}" done="0">
    <x18tc:text xml:space="preserve">Yo lo llené</x18tc:text>
  </x18tc:threadedComment>
  <x18tc:threadedComment ref="Z51" dT="2025-09-23T06:39:00.00" personId="{27d55be0-206e-4f53-bd96-fcb6a99e1b32}" id="{cbe7a613-952a-4ac8-b8b8-701d7d057f5b}" done="0">
    <x18tc:text xml:space="preserve">Verificar cuenta principal</x18tc:text>
  </x18tc:threadedComment>
  <x18tc:threadedComment ref="AP4" dT="2025-09-22T20:29:03.00" personId="{27d55be0-206e-4f53-bd96-fcb6a99e1b32}" id="{fd6f51ec-b6b0-4079-b4fb-c497ae3e671a}" done="0">
    <x18tc:text xml:space="preserve">Linea principal es TOP</x18tc:text>
  </x18tc:threadedComment>
  <x18tc:threadedComment ref="AI44" dT="2025-09-23T06:06:47.00" personId="{27d55be0-206e-4f53-bd96-fcb6a99e1b32}" id="{558de49f-9ff3-4656-acdd-7e975516539b}" done="0">
    <x18tc:text xml:space="preserve">Pedir su cuenta principal</x18tc:text>
  </x18tc:threadedComment>
  <x18tc:threadedComment ref="AI35" dT="2025-09-23T00:44:53.00" personId="{27d55be0-206e-4f53-bd96-fcb6a99e1b32}" id="{4bf80abf-1db9-4977-b602-17d8ee868894}" done="0">
    <x18tc:text xml:space="preserve">Pedir cuenta principal.</x18tc:text>
  </x18tc:threadedComment>
  <x18tc:threadedComment ref="AR31" dT="2025-09-23T01:40:02.00" personId="{27d55be0-206e-4f53-bd96-fcb6a99e1b32}" id="{4871c714-f892-484d-ba46-c9157682b29e}" done="0">
    <x18tc:text xml:space="preserve">No tiene partidas en la cuenta.</x18tc:text>
  </x18tc:threadedComment>
  <x18tc:threadedComment ref="AP6" dT="2025-09-22T20:30:27.00" personId="{27d55be0-206e-4f53-bd96-fcb6a99e1b32}" id="{881e183b-0ce8-444b-b23a-233685b9dfbb}" done="0">
    <x18tc:text xml:space="preserve">Linea principal JG luego ADC</x18tc:text>
  </x18tc:threadedComment>
  <x18tc:threadedComment ref="AP35" dT="2025-09-23T01:44:29.00" personId="{27d55be0-206e-4f53-bd96-fcb6a99e1b32}" id="{52b69e35-a94b-48c2-9060-778077f242f7}" done="0">
    <x18tc:text xml:space="preserve">Yo lo agregué</x18tc:text>
  </x18tc:threadedComment>
  <x18tc:threadedComment ref="B22" dT="2025-09-22T21:29:35.00" personId="{27d55be0-206e-4f53-bd96-fcb6a99e1b32}" id="{df1fb5ca-d099-4750-bc16-9ac2c4a3b531}" done="0">
    <x18tc:text xml:space="preserve">Sus cuentas son de LAN</x18tc:text>
  </x18tc:threadedComment>
  <x18tc:threadedComment ref="BA40" dT="2025-09-23T04:26:44.00" personId="{27d55be0-206e-4f53-bd96-fcb6a99e1b32}" id="{9a2a4106-2bc8-4ab2-aa48-728efb1411a2}" done="0">
    <x18tc:text xml:space="preserve">Pedir cuenta principal.</x18tc:text>
  </x18tc:threadedComment>
  <x18tc:threadedComment ref="Z26" dT="2025-09-22T22:34:05.00" personId="{27d55be0-206e-4f53-bd96-fcb6a99e1b32}" id="{19a877e0-3971-4bc9-9f1b-78522b9f4deb}" done="0">
    <x18tc:text xml:space="preserve">Cuenta main soporte</x18tc:text>
  </x18tc:threadedComment>
  <x18tc:threadedComment ref="Z31" dT="2025-09-22T22:42:26.00" personId="{27d55be0-206e-4f53-bd96-fcb6a99e1b32}" id="{e3fa6bed-790e-48f6-a239-d5e6ac69fa6c}" done="0">
    <x18tc:text xml:space="preserve">Cuenta main Mid</x18tc:text>
  </x18tc:threadedComment>
  <x18tc:threadedComment ref="Q21" dT="2025-09-22T21:28:13.00" personId="{27d55be0-206e-4f53-bd96-fcb6a99e1b32}" id="{77d7010f-5ed3-4929-b4fc-c1f24558dfe8}" done="0">
    <x18tc:text xml:space="preserve">No tiene partidas en esta cuenta</x18tc:text>
  </x18tc:threadedComment>
  <x18tc:threadedComment ref="BA39" dT="2025-09-23T04:25:51.00" personId="{27d55be0-206e-4f53-bd96-fcb6a99e1b32}" id="{67d3fa8f-8d3e-4a4c-8e10-aa67f0a227da}" done="0">
    <x18tc:text xml:space="preserve">Esta cuenta no tiene partidas.</x18tc:text>
  </x18tc:threadedComment>
  <x18tc:threadedComment ref="Z21" dT="2025-09-22T22:31:46.00" personId="{27d55be0-206e-4f53-bd96-fcb6a99e1b32}" id="{3bb29c0b-5c1e-4c11-bfad-50ce1a1f7eaa}" done="0">
    <x18tc:text xml:space="preserve">Tiene muy pocas partidas recientes</x18tc:text>
  </x18tc:threadedComment>
  <x18tc:threadedComment ref="AI21" dT="2025-09-22T22:56:02.00" personId="{27d55be0-206e-4f53-bd96-fcb6a99e1b32}" id="{1c5544ee-50d6-4532-904b-b70ade60fe7f}" done="0">
    <x18tc:text xml:space="preserve">No tiene ninguna partida reciente</x18tc:text>
  </x18tc:threadedComment>
  <x18tc:threadedComment ref="Z25" dT="2025-09-22T22:33:11.00" personId="{27d55be0-206e-4f53-bd96-fcb6a99e1b32}" id="{65fdee19-633c-4500-9928-febabb118b47}" done="0">
    <x18tc:text xml:space="preserve">Cuenta nivel 20</x18tc:text>
  </x18tc:threadedComment>
  <x18tc:threadedComment ref="Z33" dT="2025-09-22T22:44:28.00" personId="{27d55be0-206e-4f53-bd96-fcb6a99e1b32}" id="{fd93a6c4-94f4-4bca-95ab-c6d216c8cd47}" done="0">
    <x18tc:text xml:space="preserve">Debe pasar su cuenta principal</x18tc:text>
  </x18tc:threadedComment>
  <x18tc:threadedComment ref="X35" dT="2025-09-22T22:45:30.00" personId="{27d55be0-206e-4f53-bd96-fcb6a99e1b32}" id="{402a8cb4-1310-4d88-a556-724e9a54e199}" done="0">
    <x18tc:text xml:space="preserve">Yo lo llené</x18tc:text>
  </x18tc:threadedComment>
  <x18tc:threadedComment ref="AI23" dT="2025-09-22T23:58:13.00" personId="{27d55be0-206e-4f53-bd96-fcb6a99e1b32}" id="{c35fb4be-a1b2-4686-85b7-f8a88f468ee4}" done="0">
    <x18tc:text xml:space="preserve">Pedir su cuenta principal</x18tc:text>
  </x18tc:threadedComment>
  <x18tc:threadedComment ref="Z32" dT="2025-09-22T22:43:36.00" personId="{27d55be0-206e-4f53-bd96-fcb6a99e1b32}" id="{82a2bb0d-20d0-4eb7-a723-eb2c47de22b1}" done="0">
    <x18tc:text xml:space="preserve">No corresponde el rango mencionado. Pedir cuenta principal</x18tc:text>
  </x18tc:threadedComment>
  <x18tc:threadedComment ref="X5" dT="2025-09-22T20:20:02.00" personId="{27d55be0-206e-4f53-bd96-fcb6a99e1b32}" id="{27739f49-1644-4003-a2bb-d7284045e211}" done="0">
    <x18tc:text xml:space="preserve">No juega ranked ni normales desde hace tiempo. Pedir cuenta principal</x18tc:text>
  </x18tc:threadedComment>
  <x18tc:threadedComment ref="Z54" dT="2025-09-23T17:57:06.00" personId="{27d55be0-206e-4f53-bd96-fcb6a99e1b32}" id="{62602e5c-c847-42af-91ca-2423e83ea072}" done="0">
    <x18tc:text xml:space="preserve">La cuenta no coincide con el elo mencionado. Verificar cuenta.</x18tc:text>
  </x18tc:threadedComment>
  <x18tc:threadedComment ref="X6" dT="2025-09-22T20:21:14.00" personId="{27d55be0-206e-4f53-bd96-fcb6a99e1b32}" id="{43d11844-4c1b-4330-8514-12bb8dc0a49f}" done="0">
    <x18tc:text xml:space="preserve">Enlace incorrecto</x18tc:text>
  </x18tc:threadedComment>
  <x18tc:threadedComment ref="AY11" dT="2025-09-22T21:15:29.00" personId="{27d55be0-206e-4f53-bd96-fcb6a99e1b32}" id="{96baaa27-2c62-4e05-8fb4-72a817fd0ecb}" done="0">
    <x18tc:text xml:space="preserve">No tiene partidas como Soporte</x18tc:text>
  </x18tc:threadedComment>
  <x18tc:threadedComment ref="AI25" dT="2025-09-22T23:58:51.00" personId="{27d55be0-206e-4f53-bd96-fcb6a99e1b32}" id="{4c42837b-09a8-43b4-9835-aab26bb81437}" done="0">
    <x18tc:text xml:space="preserve">Pedir su cuenta principal</x18tc:text>
  </x18tc:threadedComment>
  <x18tc:threadedComment ref="O5" dT="2025-09-22T20:15:13.00" personId="{27d55be0-206e-4f53-bd96-fcb6a99e1b32}" id="{e932fa51-d1fa-4a6e-910c-a12001340a56}" done="0">
    <x18tc:text xml:space="preserve">Nivel 67. Verificar si tuvo otra cuenta.</x18tc:text>
  </x18tc:threadedComment>
  <x18tc:threadedComment ref="BF5" dT="2025-09-22T20:37:23.00" personId="{27d55be0-206e-4f53-bd96-fcb6a99e1b32}" id="{fe10c1d5-582c-468e-bcba-71cf96525961}" done="0">
    <x18tc:text xml:space="preserve">Tiene que indicar su Rol</x18tc:text>
  </x18tc:threadedComment>
  <x18tc:threadedComment ref="AI27" dT="2025-09-23T00:01:23.00" personId="{27d55be0-206e-4f53-bd96-fcb6a99e1b32}" id="{2dd5f171-7dd5-48ee-8772-a952bd6f0560}" done="0">
    <x18tc:text xml:space="preserve">La cuenta no corresponde al peak elo.</x18tc:text>
  </x18tc:threadedComment>
  <x18tc:threadedComment ref="X3" dT="2025-09-22T20:17:51.00" personId="{27d55be0-206e-4f53-bd96-fcb6a99e1b32}" id="{124645f7-8500-464b-bf48-1061c6ba7ca9}" done="0">
    <x18tc:text xml:space="preserve">La cuenta no juega JG. Pedir cuenta principal</x18tc:text>
  </x18tc:threadedComment>
  <x18tc:threadedComment ref="BF6" dT="2025-09-22T20:38:26.00" personId="{27d55be0-206e-4f53-bd96-fcb6a99e1b32}" id="{a6a4f6c9-f22c-4a00-b5f4-9b8ce549d387}" done="0">
    <x18tc:text xml:space="preserve">Tienne que indicar sus Roles</x18tc:text>
  </x18tc:threadedComment>
  <x18tc:threadedComment ref="AI13" dT="2025-09-22T21:20:13.00" personId="{27d55be0-206e-4f53-bd96-fcb6a99e1b32}" id="{0c671d67-e859-448c-9b7c-fbfaa3eb1e20}" done="0">
    <x18tc:text xml:space="preserve">No tiene partidas en esta cuenta</x18tc:text>
  </x18tc:threadedComment>
  <x18tc:threadedComment ref="B17" dT="2025-09-22T22:21:06.00" personId="{27d55be0-206e-4f53-bd96-fcb6a99e1b32}" id="{a1467145-5f9e-4241-9c3a-4e45ed2ca347}" done="0">
    <x18tc:text xml:space="preserve">Reembolsado</x18tc:text>
  </x18tc:threadedComment>
  <x18tc:threadedComment ref="BA43" dT="2025-09-23T04:48:31.00" personId="{27d55be0-206e-4f53-bd96-fcb6a99e1b32}" id="{f8fc4ca4-b388-445d-bc3f-4734a5f186de}" done="0">
    <x18tc:text xml:space="preserve">Tiene pocas partidas recientes. Confirmar cuenta principal</x18tc:text>
  </x18tc:threadedComment>
  <x18tc:threadedComment ref="Q15" dT="2025-09-22T21:23:57.00" personId="{27d55be0-206e-4f53-bd96-fcb6a99e1b32}" id="{ff1e3955-1c9e-4fd1-87ee-461a59da8a3e}" done="0">
    <x18tc:text xml:space="preserve">No tiene partidas en esta cuenta, pedir cuenta principal o motivo por que no juega.</x18tc:text>
  </x18tc:threadedComment>
  <x18tc:threadedComment ref="Z20" dT="2025-09-22T22:30:12.00" personId="{27d55be0-206e-4f53-bd96-fcb6a99e1b32}" id="{d4c29492-1c8f-4ea1-a155-7e5f875aef05}" done="0">
    <x18tc:text xml:space="preserve">Esta cuenta juega top</x18tc:text>
  </x18tc:threadedComment>
  <x18tc:threadedComment ref="AG3" dT="2025-09-22T20:23:01.00" personId="{27d55be0-206e-4f53-bd96-fcb6a99e1b32}" id="{613f48f1-fb7d-4bbb-817d-43095e5780af}" done="0">
    <x18tc:text xml:space="preserve">No corresponde al elo mencionado</x18tc:text>
  </x18tc:threadedComment>
  <x18tc:threadedComment ref="BA42" dT="2025-09-23T04:36:35.00" personId="{27d55be0-206e-4f53-bd96-fcb6a99e1b32}" id="{49497900-cc76-45ac-8d8b-1c13e09450cf}" done="0">
    <x18tc:text xml:space="preserve">Pedir la cuenta principal</x18tc:text>
  </x18tc:threadedComment>
  <x18tc:threadedComment ref="Q13" dT="2025-09-22T21:17:00.00" personId="{27d55be0-206e-4f53-bd96-fcb6a99e1b32}" id="{d51863f8-4c33-4ab4-9eca-f000ccbf5fd7}" done="0">
    <x18tc:text xml:space="preserve">Casi no tiene partidas con esta cuenta</x18tc:text>
  </x18tc:threadedComment>
  <x18tc:threadedComment ref="X28" dT="2025-09-23T20:24:00.00" personId="{27d55be0-206e-4f53-bd96-fcb6a99e1b32}" id="{50748943-d19f-411a-bcc8-f7ee9918fdee}" done="0">
    <x18tc:text xml:space="preserve">Esta es su cuenta principal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98" dT="2025-10-02T17:25:42.00" personId="{27d55be0-206e-4f53-bd96-fcb6a99e1b32}" id="{1d3b00fc-b8d9-44b9-92ec-5876dbe52998}" done="0">
    <x18tc:text xml:space="preserve">Retirado del equipo</x18tc:text>
  </x18tc:threadedComment>
  <x18tc:threadedComment ref="I158" dT="2025-09-24T20:34:39.00" personId="{27d55be0-206e-4f53-bd96-fcb6a99e1b32}" id="{5366db1c-fb67-4676-879e-d8f4e22ee11c}" done="1">
    <x18tc:text xml:space="preserve">Pedir datos de los suplentes</x18tc:text>
  </x18tc:threadedComment>
  <x18tc:threadedComment ref="R64" dT="2025-09-23T20:57:10.00" personId="{27d55be0-206e-4f53-bd96-fcb6a99e1b32}" id="{f240b6a8-3847-4462-87bd-56076b14f6dc}" done="0">
    <x18tc:text xml:space="preserve">Necesario para participar</x18tc:text>
  </x18tc:threadedComment>
  <x18tc:threadedComment ref="I136" dT="2025-09-24T20:33:54.00" personId="{27d55be0-206e-4f53-bd96-fcb6a99e1b32}" id="{c80d5880-1be8-456d-b992-0e27cb1735cf}" done="1">
    <x18tc:text xml:space="preserve">Pedir datos del suplente</x18tc:text>
  </x18tc:threadedComment>
  <x18tc:threadedComment ref="M293" dT="2025-10-21T20:13:52.00" personId="{27d55be0-206e-4f53-bd96-fcb6a99e1b32}" id="{79326b16-d3b9-440d-b0e0-5a7595b86768}" done="0">
    <x18tc:text xml:space="preserve">Abandonó el equipo</x18tc:text>
  </x18tc:threadedComment>
  <x18tc:threadedComment ref="L87" dT="2025-09-23T21:08:09.00" personId="{27d55be0-206e-4f53-bd96-fcb6a99e1b32}" id="{98c3475f-4662-4ef4-aa66-f97bd7bfd982}" done="0">
    <x18tc:text xml:space="preserve">Requiere mencionar 1 Rol</x18tc:text>
  </x18tc:threadedComment>
  <x18tc:threadedComment ref="C44" dT="2025-09-25T00:41:26.00" personId="{27d55be0-206e-4f53-bd96-fcb6a99e1b32}" id="{1ec1c201-1991-4886-9721-bae0f75569d0}" done="0">
    <x18tc:text xml:space="preserve">Se fue para otro equipo, quien sabe a donde</x18tc:text>
  </x18tc:threadedComment>
  <x18tc:threadedComment ref="C286" dT="2025-10-06T01:10:01.00" personId="{27d55be0-206e-4f53-bd96-fcb6a99e1b32}" id="{43962ba2-1ff6-4242-bf1d-d316e54af005}" done="0">
    <x18tc:text xml:space="preserve">Ya no juega en el equipo</x18tc:text>
  </x18tc:threadedComment>
  <x18tc:threadedComment ref="S191" dT="2025-09-24T20:28:46.00" personId="{27d55be0-206e-4f53-bd96-fcb6a99e1b32}" id="{745108a1-1dd4-4c6e-80b3-dbcdf8d43063}" done="0">
    <x18tc:text xml:space="preserve">Verificar Adc y pedir datos del suplente</x18tc:text>
  </x18tc:threadedComment>
  <x18tc:threadedComment ref="S169" dT="2025-09-24T20:27:21.00" personId="{27d55be0-206e-4f53-bd96-fcb6a99e1b32}" id="{3436fdd9-a704-47bc-965a-a03401d77efb}" done="0">
    <x18tc:text xml:space="preserve">Pedir cambio de nombre al Mid y corregir su discord</x18tc:text>
  </x18tc:threadedComment>
  <x18tc:threadedComment ref="I37" dT="2025-09-24T20:25:06.00" personId="{27d55be0-206e-4f53-bd96-fcb6a99e1b32}" id="{d4336a77-5126-408b-bc95-59c4e55cbe2b}" done="0">
    <x18tc:text xml:space="preserve">Tomar en cuenta que el mid de KTR tambien juega en - I y N</x18tc:text>
  </x18tc:threadedComment>
  <x18tc:threadedComment ref="B266" dT="2025-09-24T04:38:03.00" personId="{27d55be0-206e-4f53-bd96-fcb6a99e1b32}" id="{9ac1eea9-f319-4856-9a42-23ec0ceb924e}" done="0">
    <x18tc:text xml:space="preserve">Estaba como Sub/Top, modificado por whapp</x18tc:text>
  </x18tc:threadedComment>
  <x18tc:threadedComment ref="B265" dT="2025-09-24T04:37:33.00" personId="{27d55be0-206e-4f53-bd96-fcb6a99e1b32}" id="{b09dc23f-b05f-46a9-b073-32553f0115a3}" done="0">
    <x18tc:text xml:space="preserve">Estaba con sub adc, lo modificaron por whapp.</x18tc:text>
  </x18tc:threadedComment>
  <x18tc:threadedComment ref="R172" dT="2025-09-23T21:39:57.00" personId="{27d55be0-206e-4f53-bd96-fcb6a99e1b32}" id="{1d88dbc4-5db5-4807-93b2-f192aceee68b}" done="0">
    <x18tc:text xml:space="preserve">Verificar</x18tc:text>
  </x18tc:threadedComment>
  <x18tc:threadedComment ref="M261" dT="2025-09-24T04:57:56.00" personId="{27d55be0-206e-4f53-bd96-fcb6a99e1b32}" id="{01c7c6d2-749f-4db2-95a3-db7944cf51a2}" done="0">
    <x18tc:text xml:space="preserve">Cambiaron de JG, esperando datos</x18tc:text>
  </x18tc:threadedComment>
  <x18tc:threadedComment ref="G87" dT="2025-09-24T20:21:58.00" personId="{27d55be0-206e-4f53-bd96-fcb6a99e1b32}" id="{5e4b73a6-da71-42eb-a623-e06bf28d2c50}" done="0">
    <x18tc:text xml:space="preserve">Pedir datos</x18tc:text>
  </x18tc:threadedComment>
  <x18tc:threadedComment ref="R258" dT="2025-09-24T20:32:35.00" personId="{27d55be0-206e-4f53-bd96-fcb6a99e1b32}" id="{7f14f77f-49ae-4450-b7a9-db4b4817628d}" done="0">
    <x18tc:text xml:space="preserve">Completar datos de mid.</x18tc:text>
  </x18tc:threadedComment>
  <x18tc:threadedComment ref="S247" dT="2025-09-24T20:31:40.00" personId="{27d55be0-206e-4f53-bd96-fcb6a99e1b32}" id="{f1da449a-34e0-4400-a7ee-198382982eb6}" done="0">
    <x18tc:text xml:space="preserve">Hacer seguimiento.</x18tc:text>
  </x18tc:threadedComment>
  <x18tc:threadedComment ref="S224" dT="2025-09-24T20:30:20.00" personId="{27d55be0-206e-4f53-bd96-fcb6a99e1b32}" id="{be028224-1d88-4c83-8482-d06947919b57}" done="0">
    <x18tc:text xml:space="preserve">Verificar cuenta main de Top y Mid. Pedir datos del suplente</x18tc:text>
  </x18tc:threadedComment>
  <x18tc:threadedComment ref="S213" dT="2025-09-24T20:29:43.00" personId="{27d55be0-206e-4f53-bd96-fcb6a99e1b32}" id="{72ca9671-cd03-47a8-8479-1b786b0cace2}" done="0">
    <x18tc:text xml:space="preserve">Verificar cuenta main de mid y datos del suplente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op.gg/es/lol/summoners/las/angelcaido434-2004" TargetMode="External"/><Relationship Id="rId194" Type="http://schemas.openxmlformats.org/officeDocument/2006/relationships/hyperlink" Target="https://op.gg/es/lol/summoners/las/GabyEsA-LAS" TargetMode="External"/><Relationship Id="rId193" Type="http://schemas.openxmlformats.org/officeDocument/2006/relationships/hyperlink" Target="https://op.gg/lol/summoners/las/PonchytaProMax-LAS" TargetMode="External"/><Relationship Id="rId192" Type="http://schemas.openxmlformats.org/officeDocument/2006/relationships/hyperlink" Target="https://op.gg/es/lol/summoners/las/Salchipapaneitor-LAS" TargetMode="External"/><Relationship Id="rId191" Type="http://schemas.openxmlformats.org/officeDocument/2006/relationships/hyperlink" Target="https://op.gg/es/lol/summoners/las/Dolphy302-LAS" TargetMode="External"/><Relationship Id="rId187" Type="http://schemas.openxmlformats.org/officeDocument/2006/relationships/hyperlink" Target="https://op.gg/es/lol/summoners/lan/ayrtonk12-2512" TargetMode="External"/><Relationship Id="rId186" Type="http://schemas.openxmlformats.org/officeDocument/2006/relationships/hyperlink" Target="https://op.gg/es/lol/summoners/las/afGhostBlade-LAS" TargetMode="External"/><Relationship Id="rId185" Type="http://schemas.openxmlformats.org/officeDocument/2006/relationships/hyperlink" Target="https://op.gg/es/lol/summoners/lan/chocozx-LAN" TargetMode="External"/><Relationship Id="rId184" Type="http://schemas.openxmlformats.org/officeDocument/2006/relationships/hyperlink" Target="https://op.gg/es/lol/summoners/lan/Bubb%C3%A1%20Kush-LAN" TargetMode="External"/><Relationship Id="rId189" Type="http://schemas.openxmlformats.org/officeDocument/2006/relationships/hyperlink" Target="https://drive.google.com/open?id=1a1WPyxpqaaqzyxEURf66pvFDTFfZnCFf" TargetMode="External"/><Relationship Id="rId188" Type="http://schemas.openxmlformats.org/officeDocument/2006/relationships/hyperlink" Target="https://drive.google.com/open?id=1K1vMrBGlspEzmh-GThbudpBTfKoR_J0w" TargetMode="External"/><Relationship Id="rId183" Type="http://schemas.openxmlformats.org/officeDocument/2006/relationships/hyperlink" Target="https://op.gg/es/lol/summoners/lan/Jeche-flscn" TargetMode="External"/><Relationship Id="rId182" Type="http://schemas.openxmlformats.org/officeDocument/2006/relationships/hyperlink" Target="https://drive.google.com/open?id=1d8K0V5h-9dswwt38OxfNnpnDZwOdeIrA" TargetMode="External"/><Relationship Id="rId181" Type="http://schemas.openxmlformats.org/officeDocument/2006/relationships/hyperlink" Target="https://op.gg/es/lol/summoners/las/DONDOMINGOq-LAS" TargetMode="External"/><Relationship Id="rId180" Type="http://schemas.openxmlformats.org/officeDocument/2006/relationships/hyperlink" Target="https://op.gg/es/lol/summoners/las/%E3%82%A2%E3%83%B3%E3%83%80%E3%83%BC%E3%82%BD%E3%83%B3-WLF" TargetMode="External"/><Relationship Id="rId176" Type="http://schemas.openxmlformats.org/officeDocument/2006/relationships/hyperlink" Target="https://drive.google.com/open?id=166F6SOz9PLbgZXhtZDUFjPlx40iMwBzN" TargetMode="External"/><Relationship Id="rId297" Type="http://schemas.openxmlformats.org/officeDocument/2006/relationships/hyperlink" Target="https://drive.google.com/open?id=1-MVRkC4Ty8Pjg_2cmg47MChZpxi78AFx" TargetMode="External"/><Relationship Id="rId175" Type="http://schemas.openxmlformats.org/officeDocument/2006/relationships/hyperlink" Target="https://drive.google.com/open?id=1GTJgY2QYZS2Zkx_MLbTfFWFpe8lnUaQV" TargetMode="External"/><Relationship Id="rId296" Type="http://schemas.openxmlformats.org/officeDocument/2006/relationships/hyperlink" Target="https://op.gg/lol/summoners/las/Yummi%20sin%20ropa-AFK" TargetMode="External"/><Relationship Id="rId174" Type="http://schemas.openxmlformats.org/officeDocument/2006/relationships/hyperlink" Target="https://op.gg/es/lol/summoners/las/Dr%20Neo%20Cortex-LAS" TargetMode="External"/><Relationship Id="rId295" Type="http://schemas.openxmlformats.org/officeDocument/2006/relationships/hyperlink" Target="https://op.gg/pt/lol/summoners/las/mixel2-LAS" TargetMode="External"/><Relationship Id="rId173" Type="http://schemas.openxmlformats.org/officeDocument/2006/relationships/hyperlink" Target="https://op.gg/es/lol/summoners/las/A%C5%81%C4%99%C5%83-LAS" TargetMode="External"/><Relationship Id="rId294" Type="http://schemas.openxmlformats.org/officeDocument/2006/relationships/hyperlink" Target="https://op.gg/pt/lol/summoners/las/Nangui123-LAS" TargetMode="External"/><Relationship Id="rId179" Type="http://schemas.openxmlformats.org/officeDocument/2006/relationships/hyperlink" Target="https://op.gg/lol/summoners/las/Mcrols-LAS" TargetMode="External"/><Relationship Id="rId178" Type="http://schemas.openxmlformats.org/officeDocument/2006/relationships/hyperlink" Target="https://op.gg/es/lol/summoners/las/ItsJunior%20YS%20-LAS" TargetMode="External"/><Relationship Id="rId299" Type="http://schemas.openxmlformats.org/officeDocument/2006/relationships/hyperlink" Target="https://op.gg/es/lol/summoners/las/Satanya-LAS" TargetMode="External"/><Relationship Id="rId177" Type="http://schemas.openxmlformats.org/officeDocument/2006/relationships/hyperlink" Target="https://op.gg/lol/summoners/las/Momazos%20INSANO-tilin" TargetMode="External"/><Relationship Id="rId298" Type="http://schemas.openxmlformats.org/officeDocument/2006/relationships/hyperlink" Target="https://drive.google.com/open?id=109mqVujGKzQp7JhkLlYjHgavn3k-ishd" TargetMode="External"/><Relationship Id="rId198" Type="http://schemas.openxmlformats.org/officeDocument/2006/relationships/hyperlink" Target="https://op.gg/es/lol/summoners/las/anthony23-1506" TargetMode="External"/><Relationship Id="rId197" Type="http://schemas.openxmlformats.org/officeDocument/2006/relationships/hyperlink" Target="https://op.gg/es/lol/summoners/las/TAYRUZZ-5585" TargetMode="External"/><Relationship Id="rId196" Type="http://schemas.openxmlformats.org/officeDocument/2006/relationships/hyperlink" Target="https://drive.google.com/open?id=1hQSkxgrUoPSGiKjZ0Zl97XIchFy8OwXF" TargetMode="External"/><Relationship Id="rId195" Type="http://schemas.openxmlformats.org/officeDocument/2006/relationships/hyperlink" Target="https://drive.google.com/open?id=152CusgdFLoWtd-sqq3eZX2is-YFb9gDA" TargetMode="External"/><Relationship Id="rId199" Type="http://schemas.openxmlformats.org/officeDocument/2006/relationships/hyperlink" Target="https://op.gg/es/lol/summoners/las/BRENTHZ-4033" TargetMode="External"/><Relationship Id="rId150" Type="http://schemas.openxmlformats.org/officeDocument/2006/relationships/hyperlink" Target="https://op.gg/es/lol/summoners/las/Loviark-LAS" TargetMode="External"/><Relationship Id="rId271" Type="http://schemas.openxmlformats.org/officeDocument/2006/relationships/hyperlink" Target="https://op.gg/lol/summoners/las/ACG%20Pochoclo-YIPII" TargetMode="External"/><Relationship Id="rId392" Type="http://schemas.openxmlformats.org/officeDocument/2006/relationships/hyperlink" Target="https://op.gg/es/lol/summoners/las/TFB%20FatalizWhite-Fata" TargetMode="External"/><Relationship Id="rId270" Type="http://schemas.openxmlformats.org/officeDocument/2006/relationships/hyperlink" Target="https://op.gg/es/lol/summoners/las/ACG%20Syhorm-013" TargetMode="External"/><Relationship Id="rId391" Type="http://schemas.openxmlformats.org/officeDocument/2006/relationships/hyperlink" Target="https://op.gg/es/lol/summoners/las/TFBSumancuroinca-troll" TargetMode="External"/><Relationship Id="rId390" Type="http://schemas.openxmlformats.org/officeDocument/2006/relationships/hyperlink" Target="https://op.gg/es/lol/summoners/las/TFB%20Cloud-3867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op.gg/es/lol/summoners/las/MVLAJ-LAS" TargetMode="External"/><Relationship Id="rId4" Type="http://schemas.openxmlformats.org/officeDocument/2006/relationships/hyperlink" Target="https://drive.google.com/open?id=1V2xTGz-1fWTjdB7msDBsZqQ5x8I1wvgV" TargetMode="External"/><Relationship Id="rId148" Type="http://schemas.openxmlformats.org/officeDocument/2006/relationships/hyperlink" Target="https://drive.google.com/open?id=18XO37xw2xjwSjHslRTN7MUPx_sQ4oEgF" TargetMode="External"/><Relationship Id="rId269" Type="http://schemas.openxmlformats.org/officeDocument/2006/relationships/hyperlink" Target="https://drive.google.com/open?id=1Gvn1TT76KxpT4Wmv0nfC5L50QIG9ypBM" TargetMode="External"/><Relationship Id="rId9" Type="http://schemas.openxmlformats.org/officeDocument/2006/relationships/hyperlink" Target="https://op.gg/es/lol/summoners/las/Akali%20InTheFranx-Mai" TargetMode="External"/><Relationship Id="rId143" Type="http://schemas.openxmlformats.org/officeDocument/2006/relationships/hyperlink" Target="https://op.gg/es/lol/summoners/lan/jhonfarodiu-LAN" TargetMode="External"/><Relationship Id="rId264" Type="http://schemas.openxmlformats.org/officeDocument/2006/relationships/hyperlink" Target="https://op.gg/es/lol/summoners/las/Sylvester%20t4lon-LAS" TargetMode="External"/><Relationship Id="rId385" Type="http://schemas.openxmlformats.org/officeDocument/2006/relationships/hyperlink" Target="https://op.gg/lol/summoners/lan/Kiuga-LAN" TargetMode="External"/><Relationship Id="rId142" Type="http://schemas.openxmlformats.org/officeDocument/2006/relationships/hyperlink" Target="https://op.gg/es/lol/summoners/las/SKS%20jhonfarodiu-LAS" TargetMode="External"/><Relationship Id="rId263" Type="http://schemas.openxmlformats.org/officeDocument/2006/relationships/hyperlink" Target="https://op.gg/es/lol/summoners/las/Javier%20Meave-JAVI" TargetMode="External"/><Relationship Id="rId384" Type="http://schemas.openxmlformats.org/officeDocument/2006/relationships/hyperlink" Target="https://op.gg/lol/summoners/lan/ERL%20Kenay%20Ds3-GOAT" TargetMode="External"/><Relationship Id="rId141" Type="http://schemas.openxmlformats.org/officeDocument/2006/relationships/hyperlink" Target="https://op.gg/es/lol/summoners/lan/SAULHARS-LAN" TargetMode="External"/><Relationship Id="rId262" Type="http://schemas.openxmlformats.org/officeDocument/2006/relationships/hyperlink" Target="https://drive.google.com/open?id=1iggV_Q93YGgmwnHk-tQDhLkiOxnpfMGG" TargetMode="External"/><Relationship Id="rId383" Type="http://schemas.openxmlformats.org/officeDocument/2006/relationships/hyperlink" Target="https://op.gg/lol/summoners/lan/%D0%BA%E0%B8%84%D0%A3%CE%B7%20%CF%84%CE%BEm%CF%81%CE%BE%C5%9F%C8%9B%C4%B1r%E0%B8%84-Roma" TargetMode="External"/><Relationship Id="rId140" Type="http://schemas.openxmlformats.org/officeDocument/2006/relationships/hyperlink" Target="https://op.gg/es/lol/summoners/las/SAULHARS-17N" TargetMode="External"/><Relationship Id="rId261" Type="http://schemas.openxmlformats.org/officeDocument/2006/relationships/hyperlink" Target="https://drive.google.com/open?id=14jgbKU9E3qb1Xib9lUvZaDohQeMHtRu7" TargetMode="External"/><Relationship Id="rId382" Type="http://schemas.openxmlformats.org/officeDocument/2006/relationships/hyperlink" Target="https://op.gg/lol/summoners/lan/Renydeodo-LAN" TargetMode="External"/><Relationship Id="rId5" Type="http://schemas.openxmlformats.org/officeDocument/2006/relationships/hyperlink" Target="https://op.gg/es/lol/summoners/las/Renzihto-LAS" TargetMode="External"/><Relationship Id="rId147" Type="http://schemas.openxmlformats.org/officeDocument/2006/relationships/hyperlink" Target="https://drive.google.com/open?id=1pd7k-0Msze5MykbekTqpz5-yKmLierdy" TargetMode="External"/><Relationship Id="rId268" Type="http://schemas.openxmlformats.org/officeDocument/2006/relationships/hyperlink" Target="https://drive.google.com/open?id=1RRqh1ADMMyUphbSozdcGMWZnpPkY1F2O" TargetMode="External"/><Relationship Id="rId389" Type="http://schemas.openxmlformats.org/officeDocument/2006/relationships/hyperlink" Target="https://op.gg/es/lol/summoners/las/TFB%20Barkiel-1998" TargetMode="External"/><Relationship Id="rId6" Type="http://schemas.openxmlformats.org/officeDocument/2006/relationships/hyperlink" Target="https://op.gg/es/lol/summoners/las/Clextoni-LAS" TargetMode="External"/><Relationship Id="rId146" Type="http://schemas.openxmlformats.org/officeDocument/2006/relationships/hyperlink" Target="https://op.gg/es/lol/summoners/lan/THESHY%20BOOMFL-13131" TargetMode="External"/><Relationship Id="rId267" Type="http://schemas.openxmlformats.org/officeDocument/2006/relationships/hyperlink" Target="https://op.gg/es/lol/summoners/las/Castitatis-pipeM" TargetMode="External"/><Relationship Id="rId388" Type="http://schemas.openxmlformats.org/officeDocument/2006/relationships/hyperlink" Target="https://op.gg/es/lol/summoners/las/TFB%20Zedshadow12-2354" TargetMode="External"/><Relationship Id="rId7" Type="http://schemas.openxmlformats.org/officeDocument/2006/relationships/hyperlink" Target="https://op.gg/es/lol/summoners/las/%D0%9C%D0%AF%20Kobayashi-DOPA" TargetMode="External"/><Relationship Id="rId145" Type="http://schemas.openxmlformats.org/officeDocument/2006/relationships/hyperlink" Target="https://op.gg/es/lol/summoners/lan/jos1w-LAN" TargetMode="External"/><Relationship Id="rId266" Type="http://schemas.openxmlformats.org/officeDocument/2006/relationships/hyperlink" Target="https://op.gg/es/lol/summoners/las/%C5%9Eaqqir112-1235" TargetMode="External"/><Relationship Id="rId387" Type="http://schemas.openxmlformats.org/officeDocument/2006/relationships/hyperlink" Target="https://drive.google.com/open?id=1Dmi90Ls_H2goeAXf_vAa5VLOZ8AkO3_V" TargetMode="External"/><Relationship Id="rId8" Type="http://schemas.openxmlformats.org/officeDocument/2006/relationships/hyperlink" Target="https://op.gg/es/lol/summoners/las/Zero%20Twwo-1324" TargetMode="External"/><Relationship Id="rId144" Type="http://schemas.openxmlformats.org/officeDocument/2006/relationships/hyperlink" Target="https://op.gg/es/lol/summoners/las/jhoshiw1-8998" TargetMode="External"/><Relationship Id="rId265" Type="http://schemas.openxmlformats.org/officeDocument/2006/relationships/hyperlink" Target="https://op.gg/es/lol/summoners/las/EL%20RORR0-6969" TargetMode="External"/><Relationship Id="rId386" Type="http://schemas.openxmlformats.org/officeDocument/2006/relationships/hyperlink" Target="https://op.gg/lol/summoners/lan/Justo%20Bolsa-EXT" TargetMode="External"/><Relationship Id="rId260" Type="http://schemas.openxmlformats.org/officeDocument/2006/relationships/hyperlink" Target="https://op.gg/es/lol/summoners/las/AQS%20TeAmoSilvia-nwn" TargetMode="External"/><Relationship Id="rId381" Type="http://schemas.openxmlformats.org/officeDocument/2006/relationships/hyperlink" Target="https://drive.google.com/open?id=1Oumh_McbhTi5vTUhvXD21E5YeIyDntNo" TargetMode="External"/><Relationship Id="rId380" Type="http://schemas.openxmlformats.org/officeDocument/2006/relationships/hyperlink" Target="https://drive.google.com/open?id=145DI5AQk2qPPQcp1ibHFfIvFlloaYCf_" TargetMode="External"/><Relationship Id="rId139" Type="http://schemas.openxmlformats.org/officeDocument/2006/relationships/hyperlink" Target="https://op.gg/es/lol/summoners/lan/MARCONEX-666" TargetMode="External"/><Relationship Id="rId138" Type="http://schemas.openxmlformats.org/officeDocument/2006/relationships/hyperlink" Target="https://op.gg/es/lol/summoners/las/MARCONEX-777" TargetMode="External"/><Relationship Id="rId259" Type="http://schemas.openxmlformats.org/officeDocument/2006/relationships/hyperlink" Target="https://op.gg/es/lol/summoners/las/Showtime-EBG" TargetMode="External"/><Relationship Id="rId137" Type="http://schemas.openxmlformats.org/officeDocument/2006/relationships/hyperlink" Target="https://op.gg/es/lol/summoners/lan/willkrossxi-LAN" TargetMode="External"/><Relationship Id="rId258" Type="http://schemas.openxmlformats.org/officeDocument/2006/relationships/hyperlink" Target="https://op.gg/es/lol/summoners/las/AQS%20The%20Knight-3451" TargetMode="External"/><Relationship Id="rId379" Type="http://schemas.openxmlformats.org/officeDocument/2006/relationships/hyperlink" Target="https://op.gg/es/lol/summoners/las/ExplosiveSweat2-LPL" TargetMode="External"/><Relationship Id="rId132" Type="http://schemas.openxmlformats.org/officeDocument/2006/relationships/hyperlink" Target="https://op.gg/es/lol/summoners/las/SKP%20Javier-LAS" TargetMode="External"/><Relationship Id="rId253" Type="http://schemas.openxmlformats.org/officeDocument/2006/relationships/hyperlink" Target="https://op.gg/es/lol/summoners/las/Yaniskov-11234" TargetMode="External"/><Relationship Id="rId374" Type="http://schemas.openxmlformats.org/officeDocument/2006/relationships/hyperlink" Target="https://op.gg/lol/summoners/las/None-RLA" TargetMode="External"/><Relationship Id="rId131" Type="http://schemas.openxmlformats.org/officeDocument/2006/relationships/hyperlink" Target="https://op.gg/lol/summoners/las/duglaspro-6969" TargetMode="External"/><Relationship Id="rId252" Type="http://schemas.openxmlformats.org/officeDocument/2006/relationships/hyperlink" Target="https://op.gg/es/lol/summoners/las/L%20P-00001" TargetMode="External"/><Relationship Id="rId373" Type="http://schemas.openxmlformats.org/officeDocument/2006/relationships/hyperlink" Target="https://drive.google.com/open?id=1hGvkFe5NrlFb2Z-OpLPpksedlQi6tfoj" TargetMode="External"/><Relationship Id="rId130" Type="http://schemas.openxmlformats.org/officeDocument/2006/relationships/hyperlink" Target="https://op.gg/es/lol/summoners/las/SKP%20HidalguitoJJ-1010" TargetMode="External"/><Relationship Id="rId251" Type="http://schemas.openxmlformats.org/officeDocument/2006/relationships/hyperlink" Target="https://op.gg/es/lol/summoners/las/NORAHC-LAS" TargetMode="External"/><Relationship Id="rId372" Type="http://schemas.openxmlformats.org/officeDocument/2006/relationships/hyperlink" Target="https://drive.google.com/open?id=182O2SJ4XECeoQTBEmWT6etkYP5FBYHxF" TargetMode="External"/><Relationship Id="rId250" Type="http://schemas.openxmlformats.org/officeDocument/2006/relationships/hyperlink" Target="https://op.gg/es/lol/summoners/las/GLDP%20Mikame-3648" TargetMode="External"/><Relationship Id="rId371" Type="http://schemas.openxmlformats.org/officeDocument/2006/relationships/hyperlink" Target="https://op.gg/es/lol/summoners/las/A%20LA%20VERCA%20TILIN-MRDYU" TargetMode="External"/><Relationship Id="rId136" Type="http://schemas.openxmlformats.org/officeDocument/2006/relationships/hyperlink" Target="https://op.gg/es/lol/summoners/las/Nosoywillkrossxi-sisoy" TargetMode="External"/><Relationship Id="rId257" Type="http://schemas.openxmlformats.org/officeDocument/2006/relationships/hyperlink" Target="https://op.gg/es/lol/summoners/las/AQS%20KentoMiyaura-AQS" TargetMode="External"/><Relationship Id="rId378" Type="http://schemas.openxmlformats.org/officeDocument/2006/relationships/hyperlink" Target="https://op.gg/lol/summoners/las/SrOso%20IV-LAS" TargetMode="External"/><Relationship Id="rId135" Type="http://schemas.openxmlformats.org/officeDocument/2006/relationships/hyperlink" Target="https://drive.google.com/open?id=16vAihf_2me1JQGCOC-GM-1gFZtZ-TYUu" TargetMode="External"/><Relationship Id="rId256" Type="http://schemas.openxmlformats.org/officeDocument/2006/relationships/hyperlink" Target="https://op.gg/es/lol/summoners/las/AQS%20JAID-AQS" TargetMode="External"/><Relationship Id="rId377" Type="http://schemas.openxmlformats.org/officeDocument/2006/relationships/hyperlink" Target="https://op.gg/lol/summoners/las/duglaspro-6969" TargetMode="External"/><Relationship Id="rId134" Type="http://schemas.openxmlformats.org/officeDocument/2006/relationships/hyperlink" Target="https://drive.google.com/open?id=1_z-VWj8PE0Z3nWG0aPO4MopbAEjZrE-6" TargetMode="External"/><Relationship Id="rId255" Type="http://schemas.openxmlformats.org/officeDocument/2006/relationships/hyperlink" Target="https://drive.google.com/open?id=1xOe_N9I1taEoiWODx6fMTm5d_qbrhfFc" TargetMode="External"/><Relationship Id="rId376" Type="http://schemas.openxmlformats.org/officeDocument/2006/relationships/hyperlink" Target="https://op.gg/es/lol/summoners/las/KX%20Pynkless-LAS" TargetMode="External"/><Relationship Id="rId133" Type="http://schemas.openxmlformats.org/officeDocument/2006/relationships/hyperlink" Target="https://op.gg/es/lol/summoners/las/SKP%20DeaD%20PooL-LAS" TargetMode="External"/><Relationship Id="rId254" Type="http://schemas.openxmlformats.org/officeDocument/2006/relationships/hyperlink" Target="https://drive.google.com/open?id=1Bt2w86qSDpyfpIjJOc0gyRWv6s2CtCxo" TargetMode="External"/><Relationship Id="rId375" Type="http://schemas.openxmlformats.org/officeDocument/2006/relationships/hyperlink" Target="https://op.gg/es/lol/summoners/las/Martincho0-DTB" TargetMode="External"/><Relationship Id="rId172" Type="http://schemas.openxmlformats.org/officeDocument/2006/relationships/hyperlink" Target="https://op.gg/es/lol/summoners/las/WardEnBase-VOYD" TargetMode="External"/><Relationship Id="rId293" Type="http://schemas.openxmlformats.org/officeDocument/2006/relationships/hyperlink" Target="https://op.gg/lol/summoners/las/lance2001-LAS" TargetMode="External"/><Relationship Id="rId171" Type="http://schemas.openxmlformats.org/officeDocument/2006/relationships/hyperlink" Target="https://op.gg/es/lol/summoners/las/mi%20huk-LAS" TargetMode="External"/><Relationship Id="rId292" Type="http://schemas.openxmlformats.org/officeDocument/2006/relationships/hyperlink" Target="https://op.gg/lol/summoners/las/Noexe-6562" TargetMode="External"/><Relationship Id="rId170" Type="http://schemas.openxmlformats.org/officeDocument/2006/relationships/hyperlink" Target="https://op.gg/es/lol/summoners/las/Nypa-Nypa" TargetMode="External"/><Relationship Id="rId291" Type="http://schemas.openxmlformats.org/officeDocument/2006/relationships/hyperlink" Target="https://op.gg/pt/lol/summoners/las/Hyuned-LAS" TargetMode="External"/><Relationship Id="rId290" Type="http://schemas.openxmlformats.org/officeDocument/2006/relationships/hyperlink" Target="https://drive.google.com/open?id=1UAyMKbe3_xk3xj6lr4OAbujK5OhBfvLo" TargetMode="External"/><Relationship Id="rId165" Type="http://schemas.openxmlformats.org/officeDocument/2006/relationships/hyperlink" Target="https://op.gg/lol/summoners/las/euler-PAN" TargetMode="External"/><Relationship Id="rId286" Type="http://schemas.openxmlformats.org/officeDocument/2006/relationships/hyperlink" Target="https://op.gg/lol/summoners/las/ACG%20FueraVen3c0s-Down" TargetMode="External"/><Relationship Id="rId164" Type="http://schemas.openxmlformats.org/officeDocument/2006/relationships/hyperlink" Target="https://op.gg/lol/summoners/las/WillyZz10-LAS" TargetMode="External"/><Relationship Id="rId285" Type="http://schemas.openxmlformats.org/officeDocument/2006/relationships/hyperlink" Target="https://op.gg/lol/summoners/las/ACG%20Pochoclo-YIPII" TargetMode="External"/><Relationship Id="rId163" Type="http://schemas.openxmlformats.org/officeDocument/2006/relationships/hyperlink" Target="https://op.gg/lol/summoners/las/S3US3R3NRE-LAS" TargetMode="External"/><Relationship Id="rId284" Type="http://schemas.openxmlformats.org/officeDocument/2006/relationships/hyperlink" Target="https://op.gg/lol/summoners/las/ACG%20Syhorm-013" TargetMode="External"/><Relationship Id="rId162" Type="http://schemas.openxmlformats.org/officeDocument/2006/relationships/hyperlink" Target="https://drive.google.com/open?id=1w7vLhGLbD5-9RmTCsGsum3heb6yYjxEt" TargetMode="External"/><Relationship Id="rId283" Type="http://schemas.openxmlformats.org/officeDocument/2006/relationships/hyperlink" Target="https://drive.google.com/open?id=1TiLhAPj5ntHwC_SJe9XGKG5cIXyTx091" TargetMode="External"/><Relationship Id="rId169" Type="http://schemas.openxmlformats.org/officeDocument/2006/relationships/hyperlink" Target="https://drive.google.com/open?id=1NF6s2lyMpOVZlb8Z0b-0Xxakf4EvXXFP" TargetMode="External"/><Relationship Id="rId168" Type="http://schemas.openxmlformats.org/officeDocument/2006/relationships/hyperlink" Target="https://drive.google.com/open?id=1oCEL8XNYPCs1CPsOngk4OPX5A3AHlTav" TargetMode="External"/><Relationship Id="rId289" Type="http://schemas.openxmlformats.org/officeDocument/2006/relationships/hyperlink" Target="https://drive.google.com/open?id=1ZCitGtNsFpEnZLosTyAJmHpGTSdenqX5" TargetMode="External"/><Relationship Id="rId167" Type="http://schemas.openxmlformats.org/officeDocument/2006/relationships/hyperlink" Target="https://op.gg/es/lol/summoners/las/NoseEkisde-LAS" TargetMode="External"/><Relationship Id="rId288" Type="http://schemas.openxmlformats.org/officeDocument/2006/relationships/hyperlink" Target="https://op.gg/lol/summoners/las/ACG%20MomazosKocho-Kocho" TargetMode="External"/><Relationship Id="rId166" Type="http://schemas.openxmlformats.org/officeDocument/2006/relationships/hyperlink" Target="https://op.gg/lol/summoners/las/ChapsX-LAS" TargetMode="External"/><Relationship Id="rId287" Type="http://schemas.openxmlformats.org/officeDocument/2006/relationships/hyperlink" Target="https://op.gg/lol/summoners/las/ACG%20Ch4ca1ing-Shesh" TargetMode="External"/><Relationship Id="rId161" Type="http://schemas.openxmlformats.org/officeDocument/2006/relationships/hyperlink" Target="https://drive.google.com/open?id=1u1ybn4fxz-BQfO4I14-xQmefp3o5YcjT" TargetMode="External"/><Relationship Id="rId282" Type="http://schemas.openxmlformats.org/officeDocument/2006/relationships/hyperlink" Target="https://drive.google.com/open?id=1W6mGJGx3niLfQ6jroJePpSyeuX5CdDjW" TargetMode="External"/><Relationship Id="rId160" Type="http://schemas.openxmlformats.org/officeDocument/2006/relationships/hyperlink" Target="https://op.gg/lol/summoners/lan/Tl%20Gumayushi%20-LAN" TargetMode="External"/><Relationship Id="rId281" Type="http://schemas.openxmlformats.org/officeDocument/2006/relationships/hyperlink" Target="https://op.gg/es/lol/summoners/las/iSentSovi-LAS" TargetMode="External"/><Relationship Id="rId280" Type="http://schemas.openxmlformats.org/officeDocument/2006/relationships/hyperlink" Target="https://op.gg/es/lol/summoners/las/TheDarkBeautiful-LAS" TargetMode="External"/><Relationship Id="rId159" Type="http://schemas.openxmlformats.org/officeDocument/2006/relationships/hyperlink" Target="https://op.gg/lol/summoners/lan/Dante%20kero-666" TargetMode="External"/><Relationship Id="rId154" Type="http://schemas.openxmlformats.org/officeDocument/2006/relationships/hyperlink" Target="https://drive.google.com/open?id=1QU-HvNCYO_NaokrpDOQ859dgP7rCRfE5" TargetMode="External"/><Relationship Id="rId275" Type="http://schemas.openxmlformats.org/officeDocument/2006/relationships/hyperlink" Target="https://drive.google.com/open?id=1Auz4n38rOXVDoa1jXlFtwrvPicCkDtP5" TargetMode="External"/><Relationship Id="rId396" Type="http://schemas.openxmlformats.org/officeDocument/2006/relationships/hyperlink" Target="https://op.gg/es/lol/summoners/lan/JHONATAN%20XS-LAN" TargetMode="External"/><Relationship Id="rId153" Type="http://schemas.openxmlformats.org/officeDocument/2006/relationships/hyperlink" Target="https://op.gg/es/lol/summoners/las/MdMMT-Matu" TargetMode="External"/><Relationship Id="rId274" Type="http://schemas.openxmlformats.org/officeDocument/2006/relationships/hyperlink" Target="https://op.gg/lol/summoners/las/ACG%20MomazosKocho-Kocho" TargetMode="External"/><Relationship Id="rId395" Type="http://schemas.openxmlformats.org/officeDocument/2006/relationships/hyperlink" Target="https://op.gg/es/lol/summoners/lan/RUNBLE-LAN" TargetMode="External"/><Relationship Id="rId152" Type="http://schemas.openxmlformats.org/officeDocument/2006/relationships/hyperlink" Target="https://op.gg/es/lol/summoners/las/ElCuecas-EDG" TargetMode="External"/><Relationship Id="rId273" Type="http://schemas.openxmlformats.org/officeDocument/2006/relationships/hyperlink" Target="https://op.gg/lol/summoners/las/ACG%20Ch4ca1ing-Shesh" TargetMode="External"/><Relationship Id="rId394" Type="http://schemas.openxmlformats.org/officeDocument/2006/relationships/hyperlink" Target="https://drive.google.com/open?id=18OWVIJ6Ulbggv3nmH5dO9SZmRju-U8GH" TargetMode="External"/><Relationship Id="rId151" Type="http://schemas.openxmlformats.org/officeDocument/2006/relationships/hyperlink" Target="https://op.gg/lol/summoners/las/Luanardazo-LAS" TargetMode="External"/><Relationship Id="rId272" Type="http://schemas.openxmlformats.org/officeDocument/2006/relationships/hyperlink" Target="https://op.gg/es/lol/summoners/las/ACG%20FueraVen3c0s-Down" TargetMode="External"/><Relationship Id="rId393" Type="http://schemas.openxmlformats.org/officeDocument/2006/relationships/hyperlink" Target="https://op.gg/es/lol/summoners/las/TFB%20Messi-1037" TargetMode="External"/><Relationship Id="rId158" Type="http://schemas.openxmlformats.org/officeDocument/2006/relationships/hyperlink" Target="https://op.gg/lol/summoners/lan/Diabolique-LAN" TargetMode="External"/><Relationship Id="rId279" Type="http://schemas.openxmlformats.org/officeDocument/2006/relationships/hyperlink" Target="https://op.gg/es/lol/summoners/las/JellyMel2-3318" TargetMode="External"/><Relationship Id="rId157" Type="http://schemas.openxmlformats.org/officeDocument/2006/relationships/hyperlink" Target="https://op.gg/es/lol/summoners/las/Dekro%20TFT-LAS" TargetMode="External"/><Relationship Id="rId278" Type="http://schemas.openxmlformats.org/officeDocument/2006/relationships/hyperlink" Target="https://op.gg/es/lol/summoners/las/%C3%81dj-591" TargetMode="External"/><Relationship Id="rId399" Type="http://schemas.openxmlformats.org/officeDocument/2006/relationships/hyperlink" Target="https://op.gg/es/lol/summoners/lan/EZEKIEL%20XD-LAN" TargetMode="External"/><Relationship Id="rId156" Type="http://schemas.openxmlformats.org/officeDocument/2006/relationships/hyperlink" Target="https://op.gg/lol/summoners/LAN/MDA%20POTTE%E5%B0%BA-ZZZ" TargetMode="External"/><Relationship Id="rId277" Type="http://schemas.openxmlformats.org/officeDocument/2006/relationships/hyperlink" Target="https://op.gg/es/lol/summoners/las/Charmilian-LAS" TargetMode="External"/><Relationship Id="rId398" Type="http://schemas.openxmlformats.org/officeDocument/2006/relationships/hyperlink" Target="https://op.gg/es/lol/summoners/lan/Lizandro7w7-LAN" TargetMode="External"/><Relationship Id="rId155" Type="http://schemas.openxmlformats.org/officeDocument/2006/relationships/hyperlink" Target="https://drive.google.com/open?id=1DbPQ_VzLb8Lk53GZX3u85kQ42qOZNpoj" TargetMode="External"/><Relationship Id="rId276" Type="http://schemas.openxmlformats.org/officeDocument/2006/relationships/hyperlink" Target="https://drive.google.com/open?id=1YYxUn4atYe77vFAEGwxEJVTMIZlwbp-I" TargetMode="External"/><Relationship Id="rId397" Type="http://schemas.openxmlformats.org/officeDocument/2006/relationships/hyperlink" Target="https://op.gg/es/lol/summoners/lan/JOHN%20TUIS-LAN" TargetMode="External"/><Relationship Id="rId40" Type="http://schemas.openxmlformats.org/officeDocument/2006/relationships/hyperlink" Target="https://drive.google.com/open?id=1rOMEptWHhLzCe4YUbMLbwFh7dMsbQgQy" TargetMode="External"/><Relationship Id="rId42" Type="http://schemas.openxmlformats.org/officeDocument/2006/relationships/hyperlink" Target="https://op.gg/es/lol/summoners/las/mohomvi-LAS" TargetMode="External"/><Relationship Id="rId41" Type="http://schemas.openxmlformats.org/officeDocument/2006/relationships/hyperlink" Target="https://drive.google.com/open?id=1UXUuO7xudb56Q6EZ5V7I1-iPv-NdGXa8" TargetMode="External"/><Relationship Id="rId44" Type="http://schemas.openxmlformats.org/officeDocument/2006/relationships/hyperlink" Target="https://op.gg/es/lol/summoners/las/Levius%20Cromwell-K1NG" TargetMode="External"/><Relationship Id="rId43" Type="http://schemas.openxmlformats.org/officeDocument/2006/relationships/hyperlink" Target="https://op.gg/es/lol/summoners/las/T1%20The%20Shy-DWG" TargetMode="External"/><Relationship Id="rId46" Type="http://schemas.openxmlformats.org/officeDocument/2006/relationships/hyperlink" Target="https://op.gg/es/lol/summoners/las/Gathhal-LAS" TargetMode="External"/><Relationship Id="rId45" Type="http://schemas.openxmlformats.org/officeDocument/2006/relationships/hyperlink" Target="https://op.gg/es/lol/summoners/las/Coiia-pblo" TargetMode="External"/><Relationship Id="rId48" Type="http://schemas.openxmlformats.org/officeDocument/2006/relationships/hyperlink" Target="https://drive.google.com/open?id=1Q-ZAoYgOMivXwgSq5xtZ4L2tUoQy0tSq" TargetMode="External"/><Relationship Id="rId47" Type="http://schemas.openxmlformats.org/officeDocument/2006/relationships/hyperlink" Target="https://op.gg/es/lol/summoners/las/VP%20ISTr1kErl-LAS" TargetMode="External"/><Relationship Id="rId49" Type="http://schemas.openxmlformats.org/officeDocument/2006/relationships/hyperlink" Target="https://drive.google.com/open?id=1yFoM8XUL4kmr-1fDYnfre_EGm4D3zS3g" TargetMode="External"/><Relationship Id="rId31" Type="http://schemas.openxmlformats.org/officeDocument/2006/relationships/hyperlink" Target="https://op.gg/es/lol/summoners/lan/CANIBAL%20DRAGON-BLACK" TargetMode="External"/><Relationship Id="rId30" Type="http://schemas.openxmlformats.org/officeDocument/2006/relationships/hyperlink" Target="https://op.gg/es/lol/summoners/las/%C4%B1Il%C5%82%20%C3%9Fr%C3%BF%C4%85n%20%C5%82lI%C4%B1-LAS" TargetMode="External"/><Relationship Id="rId33" Type="http://schemas.openxmlformats.org/officeDocument/2006/relationships/hyperlink" Target="https://drive.google.com/open?id=1xXoIhLoeLncGXB7hwy3Sr1iPvh4x_jxf" TargetMode="External"/><Relationship Id="rId32" Type="http://schemas.openxmlformats.org/officeDocument/2006/relationships/hyperlink" Target="https://op.gg/es/lol/summoners/las/percibal9-5293" TargetMode="External"/><Relationship Id="rId35" Type="http://schemas.openxmlformats.org/officeDocument/2006/relationships/hyperlink" Target="https://op.gg/es/lol/summoners/lan/Yerizao-LAN" TargetMode="External"/><Relationship Id="rId34" Type="http://schemas.openxmlformats.org/officeDocument/2006/relationships/hyperlink" Target="https://op.gg/es/lol/summoners/lan/driip-LAN" TargetMode="External"/><Relationship Id="rId37" Type="http://schemas.openxmlformats.org/officeDocument/2006/relationships/hyperlink" Target="https://op.gg/es/lol/summoners/lan/FerickPM-GOD" TargetMode="External"/><Relationship Id="rId36" Type="http://schemas.openxmlformats.org/officeDocument/2006/relationships/hyperlink" Target="https://op.gg/es/lol/summoners/lan/Sammy%20Jam-GOD" TargetMode="External"/><Relationship Id="rId39" Type="http://schemas.openxmlformats.org/officeDocument/2006/relationships/hyperlink" Target="https://op.gg/es/lol/summoners/lan/Rompe%20bragas-LAN/" TargetMode="External"/><Relationship Id="rId38" Type="http://schemas.openxmlformats.org/officeDocument/2006/relationships/hyperlink" Target="https://op.gg/es/lol/summoners/lan/CHORYPAN-LAN" TargetMode="External"/><Relationship Id="rId20" Type="http://schemas.openxmlformats.org/officeDocument/2006/relationships/hyperlink" Target="https://op.gg/es/lol/summoners/las/NOXUZ-ekisd" TargetMode="External"/><Relationship Id="rId22" Type="http://schemas.openxmlformats.org/officeDocument/2006/relationships/hyperlink" Target="https://op.gg/lol/summoners/las/Gats%C3%9Fy-PRO" TargetMode="External"/><Relationship Id="rId21" Type="http://schemas.openxmlformats.org/officeDocument/2006/relationships/hyperlink" Target="https://op.gg/es/lol/summoners/las/Heliaser-LAS" TargetMode="External"/><Relationship Id="rId24" Type="http://schemas.openxmlformats.org/officeDocument/2006/relationships/hyperlink" Target="https://op.gg/es/lol/summoners/las/BADFACEMEMO-LAS1" TargetMode="External"/><Relationship Id="rId23" Type="http://schemas.openxmlformats.org/officeDocument/2006/relationships/hyperlink" Target="https://op.gg/es/lol/summoners/las/Viper-JFG9" TargetMode="External"/><Relationship Id="rId402" Type="http://schemas.openxmlformats.org/officeDocument/2006/relationships/vmlDrawing" Target="../drawings/vmlDrawing1.vml"/><Relationship Id="rId401" Type="http://schemas.openxmlformats.org/officeDocument/2006/relationships/drawing" Target="../drawings/drawing1.xml"/><Relationship Id="rId408" Type="http://schemas.openxmlformats.org/officeDocument/2006/relationships/table" Target="../tables/table3.xml"/><Relationship Id="rId407" Type="http://schemas.openxmlformats.org/officeDocument/2006/relationships/table" Target="../tables/table2.xml"/><Relationship Id="rId406" Type="http://schemas.openxmlformats.org/officeDocument/2006/relationships/table" Target="../tables/table1.xml"/><Relationship Id="rId26" Type="http://schemas.openxmlformats.org/officeDocument/2006/relationships/hyperlink" Target="https://drive.google.com/open?id=1YY06ICN7rzxplOc0YXfgKjLUZEwWY_MZ" TargetMode="External"/><Relationship Id="rId25" Type="http://schemas.openxmlformats.org/officeDocument/2006/relationships/hyperlink" Target="https://op.gg/es/lol/summoners/las/FNC%20JOEL433-LAS" TargetMode="External"/><Relationship Id="rId28" Type="http://schemas.openxmlformats.org/officeDocument/2006/relationships/hyperlink" Target="https://op.gg/lol/summoners/las/Kalinka-GINBY" TargetMode="External"/><Relationship Id="rId27" Type="http://schemas.openxmlformats.org/officeDocument/2006/relationships/hyperlink" Target="https://drive.google.com/open?id=1zZNx2EpYMNre8IOgSZNq66o9dJ4gcAgX" TargetMode="External"/><Relationship Id="rId400" Type="http://schemas.openxmlformats.org/officeDocument/2006/relationships/hyperlink" Target="https://op.gg/es/lol/summoners/las/EN1GMA-LiFe" TargetMode="External"/><Relationship Id="rId29" Type="http://schemas.openxmlformats.org/officeDocument/2006/relationships/hyperlink" Target="https://l.facebook.com/l.php?u=https%3A%2F%2Fop.gg%2Flol%2Fsummoners%2Flas%2FMet%25C3%25A0lic-LAS&amp;h=AT0rKIsHcxbiOJQHU7SBTUdbDQWeJMzUD19mIaFhczOAj_GZhog0-d3_whnRr_qAhD72uruNXJOPnbbQXbQRfkdwVVu2UYihit3WLncJM08BicbSkR-LuPMuHIdX6sw&amp;s=1" TargetMode="External"/><Relationship Id="rId11" Type="http://schemas.openxmlformats.org/officeDocument/2006/relationships/hyperlink" Target="https://drive.google.com/open?id=1S8u9Ch0ydNokRKfJj82__M-48VaOe8Bp" TargetMode="External"/><Relationship Id="rId10" Type="http://schemas.openxmlformats.org/officeDocument/2006/relationships/hyperlink" Target="https://www.leagueofgraphs.com/summoner/las/Overtaken+%E6%B5%A3-2001y" TargetMode="External"/><Relationship Id="rId13" Type="http://schemas.openxmlformats.org/officeDocument/2006/relationships/hyperlink" Target="https://op.gg/es/lol/summoners/las/SLK%20Izrangel-1666" TargetMode="External"/><Relationship Id="rId12" Type="http://schemas.openxmlformats.org/officeDocument/2006/relationships/hyperlink" Target="https://drive.google.com/open?id=1kVR3juPNpDalxs5NpcmAl7dTrYrOJY-O" TargetMode="External"/><Relationship Id="rId15" Type="http://schemas.openxmlformats.org/officeDocument/2006/relationships/hyperlink" Target="https://op.gg/es/lol/summoners/las/SLK%20Remmy-GGEZ" TargetMode="External"/><Relationship Id="rId14" Type="http://schemas.openxmlformats.org/officeDocument/2006/relationships/hyperlink" Target="https://op.gg/es/lol/summoners/las/SLK%20Darkxz-9215" TargetMode="External"/><Relationship Id="rId17" Type="http://schemas.openxmlformats.org/officeDocument/2006/relationships/hyperlink" Target="https://op.gg/es/lol/summoners/las/SLK%20Ca7riel-6752" TargetMode="External"/><Relationship Id="rId16" Type="http://schemas.openxmlformats.org/officeDocument/2006/relationships/hyperlink" Target="https://op.gg/es/lol/summoners/las/SLK%20Gero-4044" TargetMode="External"/><Relationship Id="rId19" Type="http://schemas.openxmlformats.org/officeDocument/2006/relationships/hyperlink" Target="https://drive.google.com/open?id=10UEbPHDC_6DgejVipMktgoJuQRzOAZr2" TargetMode="External"/><Relationship Id="rId18" Type="http://schemas.openxmlformats.org/officeDocument/2006/relationships/hyperlink" Target="https://drive.google.com/open?id=1k5JG-Lscke75JZF3NSdlFPv0CuxH2gbR" TargetMode="External"/><Relationship Id="rId84" Type="http://schemas.openxmlformats.org/officeDocument/2006/relationships/hyperlink" Target="https://op.gg/es/lol/summoners/las/DogPilfrut-LAS" TargetMode="External"/><Relationship Id="rId83" Type="http://schemas.openxmlformats.org/officeDocument/2006/relationships/hyperlink" Target="https://drive.google.com/open?id=1LQq5KzeXopuNwCGSQ3rCaIU1xonPupQ8" TargetMode="External"/><Relationship Id="rId86" Type="http://schemas.openxmlformats.org/officeDocument/2006/relationships/hyperlink" Target="https://op.gg/lol/summoners/las/Asagui-LAS" TargetMode="External"/><Relationship Id="rId85" Type="http://schemas.openxmlformats.org/officeDocument/2006/relationships/hyperlink" Target="https://op.gg/es/lol/summoners/las/Afroa-LAS" TargetMode="External"/><Relationship Id="rId88" Type="http://schemas.openxmlformats.org/officeDocument/2006/relationships/hyperlink" Target="https://op.gg/es/lol/summoners/las/EvoElNarc0-LAS" TargetMode="External"/><Relationship Id="rId87" Type="http://schemas.openxmlformats.org/officeDocument/2006/relationships/hyperlink" Target="https://op.gg/es/lol/summoners/las/TWD%20Clementine-LASS" TargetMode="External"/><Relationship Id="rId89" Type="http://schemas.openxmlformats.org/officeDocument/2006/relationships/hyperlink" Target="https://drive.google.com/open?id=1O8p4u3UaXWyG4tsCHSyQPnmaXYTTF7-N" TargetMode="External"/><Relationship Id="rId80" Type="http://schemas.openxmlformats.org/officeDocument/2006/relationships/hyperlink" Target="https://op.gg/es/lol/summoners/las/Toko%20Loco%20xd-LAS" TargetMode="External"/><Relationship Id="rId82" Type="http://schemas.openxmlformats.org/officeDocument/2006/relationships/hyperlink" Target="https://drive.google.com/open?id=1gjEXy2AchOc8XrctGm3KwsSWcRH_rayZ" TargetMode="External"/><Relationship Id="rId81" Type="http://schemas.openxmlformats.org/officeDocument/2006/relationships/hyperlink" Target="https://op.gg/es/lol/summoners/las/el%20davo-4486" TargetMode="External"/><Relationship Id="rId73" Type="http://schemas.openxmlformats.org/officeDocument/2006/relationships/hyperlink" Target="https://op.gg/lol/summoners/las/kazuma-72283" TargetMode="External"/><Relationship Id="rId72" Type="http://schemas.openxmlformats.org/officeDocument/2006/relationships/hyperlink" Target="https://op.gg/lol/summoners/las/Akalex-LAS" TargetMode="External"/><Relationship Id="rId75" Type="http://schemas.openxmlformats.org/officeDocument/2006/relationships/hyperlink" Target="https://op.gg/lol/summoners/las/Pachonk-LAS" TargetMode="External"/><Relationship Id="rId74" Type="http://schemas.openxmlformats.org/officeDocument/2006/relationships/hyperlink" Target="https://op.gg/lol/summoners/las/Ez3tres-FTH" TargetMode="External"/><Relationship Id="rId77" Type="http://schemas.openxmlformats.org/officeDocument/2006/relationships/hyperlink" Target="https://drive.google.com/open?id=1UtkCyxHWPtlMCauyCkfN7B68JIAHrFhI" TargetMode="External"/><Relationship Id="rId76" Type="http://schemas.openxmlformats.org/officeDocument/2006/relationships/hyperlink" Target="https://drive.google.com/open?id=1hE9qIzMpyGbQ8sT_t6NzCCOd2XZfBxtn" TargetMode="External"/><Relationship Id="rId79" Type="http://schemas.openxmlformats.org/officeDocument/2006/relationships/hyperlink" Target="https://op.gg/es/lol/summoners/las/Nomad%20AP-PCA" TargetMode="External"/><Relationship Id="rId78" Type="http://schemas.openxmlformats.org/officeDocument/2006/relationships/hyperlink" Target="https://op.gg/es/lol/summoners/las/Alexwuuu1-0812" TargetMode="External"/><Relationship Id="rId71" Type="http://schemas.openxmlformats.org/officeDocument/2006/relationships/hyperlink" Target="https://op.gg/lol/summoners/las/sebasx100pre-LAS" TargetMode="External"/><Relationship Id="rId70" Type="http://schemas.openxmlformats.org/officeDocument/2006/relationships/hyperlink" Target="https://op.gg/lol/summoners/las/Zoeunpanthalon-UwU" TargetMode="External"/><Relationship Id="rId62" Type="http://schemas.openxmlformats.org/officeDocument/2006/relationships/hyperlink" Target="https://drive.google.com/open?id=1gqMJ9FgHz9YVjkHOqp_BOL2GAee6Fnx-" TargetMode="External"/><Relationship Id="rId61" Type="http://schemas.openxmlformats.org/officeDocument/2006/relationships/hyperlink" Target="https://tracker.gg/lol/profile/riot/PyAM7h5NmRkhe82KZXsy9LY3fEiMlFxfJ89JEhtK9qC8gvLf7g8V-ZHxSaBfCj6GHtOTEsKhwpyjbA" TargetMode="External"/><Relationship Id="rId64" Type="http://schemas.openxmlformats.org/officeDocument/2006/relationships/hyperlink" Target="https://op.gg/es/lol/summoners/las/NOXUZ-ekisd" TargetMode="External"/><Relationship Id="rId63" Type="http://schemas.openxmlformats.org/officeDocument/2006/relationships/hyperlink" Target="https://drive.google.com/open?id=1gztSOdcdP8B-NWbqncORc5U43-oz978q" TargetMode="External"/><Relationship Id="rId66" Type="http://schemas.openxmlformats.org/officeDocument/2006/relationships/hyperlink" Target="https://op.gg/es/lol/summoners/las/Pesadilla%20Tongoy-2015" TargetMode="External"/><Relationship Id="rId65" Type="http://schemas.openxmlformats.org/officeDocument/2006/relationships/hyperlink" Target="https://op.gg/es/lol/summoners/las/Heliaser-LAS" TargetMode="External"/><Relationship Id="rId68" Type="http://schemas.openxmlformats.org/officeDocument/2006/relationships/hyperlink" Target="https://drive.google.com/open?id=1yhY76OHiR0X_OfqGJF4qaWVjXf-0vALC" TargetMode="External"/><Relationship Id="rId67" Type="http://schemas.openxmlformats.org/officeDocument/2006/relationships/hyperlink" Target="https://op.gg/es/lol/summoners/las/Scary-LAS" TargetMode="External"/><Relationship Id="rId60" Type="http://schemas.openxmlformats.org/officeDocument/2006/relationships/hyperlink" Target="https://op.gg/es/lol/summoners/las/TQ%20Mia%20KhalifA1-wiz" TargetMode="External"/><Relationship Id="rId69" Type="http://schemas.openxmlformats.org/officeDocument/2006/relationships/hyperlink" Target="https://drive.google.com/open?id=1Tl1hSSq_cEBHi46kVE1cyoJyBye4QmWq" TargetMode="External"/><Relationship Id="rId51" Type="http://schemas.openxmlformats.org/officeDocument/2006/relationships/hyperlink" Target="https://op.gg/es/lol/summoners/las/dhamthan-LAS" TargetMode="External"/><Relationship Id="rId50" Type="http://schemas.openxmlformats.org/officeDocument/2006/relationships/hyperlink" Target="https://op.gg/lol/summoners/las/YIORI-LAS" TargetMode="External"/><Relationship Id="rId53" Type="http://schemas.openxmlformats.org/officeDocument/2006/relationships/hyperlink" Target="https://op.gg/es/lol/summoners/las/cecihh-LAS" TargetMode="External"/><Relationship Id="rId52" Type="http://schemas.openxmlformats.org/officeDocument/2006/relationships/hyperlink" Target="https://op.gg/es/lol/summoners/las/Akalex-LAS" TargetMode="External"/><Relationship Id="rId55" Type="http://schemas.openxmlformats.org/officeDocument/2006/relationships/hyperlink" Target="https://drive.google.com/open?id=1Y-v1zKAPd63vApPDoV3yFUz-E-L7DNGC" TargetMode="External"/><Relationship Id="rId54" Type="http://schemas.openxmlformats.org/officeDocument/2006/relationships/hyperlink" Target="https://op.gg/es/lol/summoners/las/Hellgorgon-LAS" TargetMode="External"/><Relationship Id="rId57" Type="http://schemas.openxmlformats.org/officeDocument/2006/relationships/hyperlink" Target="https://tracker.gg/lol/profile/riot/itzDarko%23BOSS/overview?queue=RANKED_SOLO_5x5&amp;season=2025-08-27T04:00:00%2B00:00" TargetMode="External"/><Relationship Id="rId56" Type="http://schemas.openxmlformats.org/officeDocument/2006/relationships/hyperlink" Target="https://op.gg/es/lol/summoners/las/xxmainjaxxx-LAS" TargetMode="External"/><Relationship Id="rId59" Type="http://schemas.openxmlformats.org/officeDocument/2006/relationships/hyperlink" Target="https://op.gg/es/lol/summoners/las/Almoproo-5075" TargetMode="External"/><Relationship Id="rId58" Type="http://schemas.openxmlformats.org/officeDocument/2006/relationships/hyperlink" Target="https://op.gg/es/lol/summoners/las/Im%20Kringts-LAS" TargetMode="External"/><Relationship Id="rId107" Type="http://schemas.openxmlformats.org/officeDocument/2006/relationships/hyperlink" Target="https://op.gg/es/lol/summoners/las/Andy-Pichi" TargetMode="External"/><Relationship Id="rId228" Type="http://schemas.openxmlformats.org/officeDocument/2006/relationships/hyperlink" Target="https://op.gg/es/lol/summoners/las/J%C3%A4ger57-LAS" TargetMode="External"/><Relationship Id="rId349" Type="http://schemas.openxmlformats.org/officeDocument/2006/relationships/hyperlink" Target="https://op.gg/es/lol/summoners/las/CKA%20Sun-SCZ" TargetMode="External"/><Relationship Id="rId106" Type="http://schemas.openxmlformats.org/officeDocument/2006/relationships/hyperlink" Target="https://drive.google.com/open?id=1KBd20jKPcdwRkRtgQ7bs7h9hDJphlhnV" TargetMode="External"/><Relationship Id="rId227" Type="http://schemas.openxmlformats.org/officeDocument/2006/relationships/hyperlink" Target="https://drive.google.com/open?id=1y9uas7gsh36nsmHK6HwdMqK3ZCR3_ogX" TargetMode="External"/><Relationship Id="rId348" Type="http://schemas.openxmlformats.org/officeDocument/2006/relationships/hyperlink" Target="https://op.gg/es/lol/summoners/las/CKA%20MRodrigoxd-8429" TargetMode="External"/><Relationship Id="rId105" Type="http://schemas.openxmlformats.org/officeDocument/2006/relationships/hyperlink" Target="https://drive.google.com/open?id=1Nhpwl1sXMUKEQyVe0nCSzWvmAFSILjmV" TargetMode="External"/><Relationship Id="rId226" Type="http://schemas.openxmlformats.org/officeDocument/2006/relationships/hyperlink" Target="https://drive.google.com/open?id=1dXXV-iAle4V7ZuFYPdOcmhqfvuDrcP95" TargetMode="External"/><Relationship Id="rId347" Type="http://schemas.openxmlformats.org/officeDocument/2006/relationships/hyperlink" Target="https://op.gg/es/lol/summoners/las/CKA%20icyplays-CKA" TargetMode="External"/><Relationship Id="rId104" Type="http://schemas.openxmlformats.org/officeDocument/2006/relationships/hyperlink" Target="https://drive.google.com/open?id=1KoQos2SJu8Szly2KUwo8_iLVsicKhVHd" TargetMode="External"/><Relationship Id="rId225" Type="http://schemas.openxmlformats.org/officeDocument/2006/relationships/hyperlink" Target="https://op.gg/es/lol/summoners/las/ACM1PTXDUWU-LAS" TargetMode="External"/><Relationship Id="rId346" Type="http://schemas.openxmlformats.org/officeDocument/2006/relationships/hyperlink" Target="https://op.gg/es/lol/summoners/las/CKA%20%20Alerkill-LAS" TargetMode="External"/><Relationship Id="rId109" Type="http://schemas.openxmlformats.org/officeDocument/2006/relationships/hyperlink" Target="https://op.gg/lol/summoners/las/Deadrake9811-LAS" TargetMode="External"/><Relationship Id="rId108" Type="http://schemas.openxmlformats.org/officeDocument/2006/relationships/hyperlink" Target="https://op.gg/es/lol/summoners/las/Luigi-Pichi" TargetMode="External"/><Relationship Id="rId229" Type="http://schemas.openxmlformats.org/officeDocument/2006/relationships/hyperlink" Target="https://op.gg/es/lol/summoners/las/darkdragon3009-3009" TargetMode="External"/><Relationship Id="rId220" Type="http://schemas.openxmlformats.org/officeDocument/2006/relationships/hyperlink" Target="https://op.gg/lol/summoners/las/STAR%20Alice-ST4R" TargetMode="External"/><Relationship Id="rId341" Type="http://schemas.openxmlformats.org/officeDocument/2006/relationships/hyperlink" Target="https://op.gg/es/lol/summoners/las/Carlos%20Prime-YNG" TargetMode="External"/><Relationship Id="rId340" Type="http://schemas.openxmlformats.org/officeDocument/2006/relationships/hyperlink" Target="https://op.gg/lol/summoners/las/DirtyDianaMJ-LAS" TargetMode="External"/><Relationship Id="rId103" Type="http://schemas.openxmlformats.org/officeDocument/2006/relationships/hyperlink" Target="https://op.gg/es/lol/summoners/las/TIBUR0NBOLIVIANO-pansa" TargetMode="External"/><Relationship Id="rId224" Type="http://schemas.openxmlformats.org/officeDocument/2006/relationships/hyperlink" Target="https://op.gg/lol/summoners/las/STARIsabella-STAR" TargetMode="External"/><Relationship Id="rId345" Type="http://schemas.openxmlformats.org/officeDocument/2006/relationships/hyperlink" Target="https://drive.google.com/open?id=1NdXNn0FGiLrwDtb9MD1k65KkIA7RPJCr" TargetMode="External"/><Relationship Id="rId102" Type="http://schemas.openxmlformats.org/officeDocument/2006/relationships/hyperlink" Target="https://op.gg/es/lol/summoners/las/Little%20Vash-Vash" TargetMode="External"/><Relationship Id="rId223" Type="http://schemas.openxmlformats.org/officeDocument/2006/relationships/hyperlink" Target="https://op.gg/lol/summoners/las/STAR%20RAQUEL-6969" TargetMode="External"/><Relationship Id="rId344" Type="http://schemas.openxmlformats.org/officeDocument/2006/relationships/hyperlink" Target="https://drive.google.com/open?id=1VJJJfbepQrynGfC-Yu5g4dOZJ6RttA91" TargetMode="External"/><Relationship Id="rId101" Type="http://schemas.openxmlformats.org/officeDocument/2006/relationships/hyperlink" Target="https://op.gg/es/lol/summoners/las/Astronyx-VKT" TargetMode="External"/><Relationship Id="rId222" Type="http://schemas.openxmlformats.org/officeDocument/2006/relationships/hyperlink" Target="https://op.gg/lol/summoners/las/STAR%20Nathalie-ST4R" TargetMode="External"/><Relationship Id="rId343" Type="http://schemas.openxmlformats.org/officeDocument/2006/relationships/hyperlink" Target="https://op.gg/lol/summoners/las/Haoran-CHINA" TargetMode="External"/><Relationship Id="rId100" Type="http://schemas.openxmlformats.org/officeDocument/2006/relationships/hyperlink" Target="https://op.gg/es/lol/summoners/las/El%20Boliviano-LAS" TargetMode="External"/><Relationship Id="rId221" Type="http://schemas.openxmlformats.org/officeDocument/2006/relationships/hyperlink" Target="https://op.gg/lol/summoners/las/Smurf%20Anakin-LAS" TargetMode="External"/><Relationship Id="rId342" Type="http://schemas.openxmlformats.org/officeDocument/2006/relationships/hyperlink" Target="https://op.gg/es/lol/summoners/las/T1%20HaMeRfAL-izi" TargetMode="External"/><Relationship Id="rId217" Type="http://schemas.openxmlformats.org/officeDocument/2006/relationships/hyperlink" Target="https://op.gg/es/lol/summoners/las/el2achchiru-12345" TargetMode="External"/><Relationship Id="rId338" Type="http://schemas.openxmlformats.org/officeDocument/2006/relationships/hyperlink" Target="https://op.gg/es/lol/summoners/las/Post%20Mortem-dllom" TargetMode="External"/><Relationship Id="rId216" Type="http://schemas.openxmlformats.org/officeDocument/2006/relationships/hyperlink" Target="https://op.gg/es/lol/summoners/las/TRkiller153-LAS" TargetMode="External"/><Relationship Id="rId337" Type="http://schemas.openxmlformats.org/officeDocument/2006/relationships/hyperlink" Target="https://drive.google.com/open?id=1BulOScRZWoYf-JgjI247zPYDUIfzeoeD" TargetMode="External"/><Relationship Id="rId215" Type="http://schemas.openxmlformats.org/officeDocument/2006/relationships/hyperlink" Target="https://op.gg/es/lol/summoners/las/zahevos-LAS" TargetMode="External"/><Relationship Id="rId336" Type="http://schemas.openxmlformats.org/officeDocument/2006/relationships/hyperlink" Target="https://drive.google.com/open?id=1WAG9PbAnti7fo1KGH36I5InuFWynDusd" TargetMode="External"/><Relationship Id="rId214" Type="http://schemas.openxmlformats.org/officeDocument/2006/relationships/hyperlink" Target="https://op.gg/es/lol/summoners/las/AbreLASpiernass-LAS" TargetMode="External"/><Relationship Id="rId335" Type="http://schemas.openxmlformats.org/officeDocument/2006/relationships/hyperlink" Target="https://op.gg/es/lol/summoners/las/YoSoyJoe-8044" TargetMode="External"/><Relationship Id="rId219" Type="http://schemas.openxmlformats.org/officeDocument/2006/relationships/hyperlink" Target="https://drive.google.com/open?id=19nb30cIB9EjCpS6DO6k2dTSyBMBA3w_B" TargetMode="External"/><Relationship Id="rId218" Type="http://schemas.openxmlformats.org/officeDocument/2006/relationships/hyperlink" Target="https://drive.google.com/open?id=1xh-osTftQuXgWvc0u3ryCpFfHE2HCZPX" TargetMode="External"/><Relationship Id="rId339" Type="http://schemas.openxmlformats.org/officeDocument/2006/relationships/hyperlink" Target="https://op.gg/lol/summoners/lan/EL%20PABLEX%20-LAN" TargetMode="External"/><Relationship Id="rId330" Type="http://schemas.openxmlformats.org/officeDocument/2006/relationships/hyperlink" Target="https://op.gg/es/lol/summoners/las/gevisi%20itm-LAAAS" TargetMode="External"/><Relationship Id="rId213" Type="http://schemas.openxmlformats.org/officeDocument/2006/relationships/hyperlink" Target="https://discord.gg/VvvJzWE4" TargetMode="External"/><Relationship Id="rId334" Type="http://schemas.openxmlformats.org/officeDocument/2006/relationships/hyperlink" Target="https://op.gg/es/lol/summoners/las/ExplosiveSweat2-LPL" TargetMode="External"/><Relationship Id="rId212" Type="http://schemas.openxmlformats.org/officeDocument/2006/relationships/hyperlink" Target="https://op.gg/es/lol/summoners/las/Let%20Mi%20Goo-LAS" TargetMode="External"/><Relationship Id="rId333" Type="http://schemas.openxmlformats.org/officeDocument/2006/relationships/hyperlink" Target="https://op.gg/es/lol/summoners/las/FbRayvan-564" TargetMode="External"/><Relationship Id="rId211" Type="http://schemas.openxmlformats.org/officeDocument/2006/relationships/hyperlink" Target="https://discord.gg/mW4uWsGA" TargetMode="External"/><Relationship Id="rId332" Type="http://schemas.openxmlformats.org/officeDocument/2006/relationships/hyperlink" Target="https://op.gg/es/lol/summoners/las/Koltken-LAS" TargetMode="External"/><Relationship Id="rId210" Type="http://schemas.openxmlformats.org/officeDocument/2006/relationships/hyperlink" Target="https://drive.google.com/open?id=1yIPbplSRa4NeNLlwXUsq_w_sKalSCTIZ" TargetMode="External"/><Relationship Id="rId331" Type="http://schemas.openxmlformats.org/officeDocument/2006/relationships/hyperlink" Target="https://op.gg/es/lol/summoners/las/deymarks-LAS" TargetMode="External"/><Relationship Id="rId370" Type="http://schemas.openxmlformats.org/officeDocument/2006/relationships/hyperlink" Target="https://op.gg/es/lol/summoners/las/pasivo%20alte%C3%B1o-dvk" TargetMode="External"/><Relationship Id="rId129" Type="http://schemas.openxmlformats.org/officeDocument/2006/relationships/hyperlink" Target="https://op.gg/lol/summoners/las/SKP%20Ckymito-LAS" TargetMode="External"/><Relationship Id="rId128" Type="http://schemas.openxmlformats.org/officeDocument/2006/relationships/hyperlink" Target="https://op.gg/es/lol/summoners/las/SKP%20Hidalguito-LAS" TargetMode="External"/><Relationship Id="rId249" Type="http://schemas.openxmlformats.org/officeDocument/2006/relationships/hyperlink" Target="https://op.gg/es/lol/summoners/las/MYSTR%CE%94L-L%CE%94S" TargetMode="External"/><Relationship Id="rId127" Type="http://schemas.openxmlformats.org/officeDocument/2006/relationships/hyperlink" Target="https://drive.google.com/open?id=1KLlWpi9RFiV7waPbjOYOWrAC0mxgARa9" TargetMode="External"/><Relationship Id="rId248" Type="http://schemas.openxmlformats.org/officeDocument/2006/relationships/hyperlink" Target="https://drive.google.com/open?id=1vEU7Uo887FNLWPaD8_Xe6vYm8UOExGbY" TargetMode="External"/><Relationship Id="rId369" Type="http://schemas.openxmlformats.org/officeDocument/2006/relationships/hyperlink" Target="https://op.gg/es/lol/summoners/las/Shir0w-LAS" TargetMode="External"/><Relationship Id="rId126" Type="http://schemas.openxmlformats.org/officeDocument/2006/relationships/hyperlink" Target="https://drive.google.com/open?id=1gB681_KIum6KagawaV_E-Peys6rTlibA" TargetMode="External"/><Relationship Id="rId247" Type="http://schemas.openxmlformats.org/officeDocument/2006/relationships/hyperlink" Target="https://drive.google.com/open?id=1I44nVi4R6oX2dYAiX8ZFhsKQ9IU5Ty3a" TargetMode="External"/><Relationship Id="rId368" Type="http://schemas.openxmlformats.org/officeDocument/2006/relationships/hyperlink" Target="https://op.gg/es/lol/summoners/las/MaximuS%20SlayeR-LAS" TargetMode="External"/><Relationship Id="rId121" Type="http://schemas.openxmlformats.org/officeDocument/2006/relationships/hyperlink" Target="https://op.gg/es/lol/summoners/las/GGEZ%20KNA1245-9359" TargetMode="External"/><Relationship Id="rId242" Type="http://schemas.openxmlformats.org/officeDocument/2006/relationships/hyperlink" Target="https://op.gg/lol/summoners/las/Piolin%201-LAS" TargetMode="External"/><Relationship Id="rId363" Type="http://schemas.openxmlformats.org/officeDocument/2006/relationships/hyperlink" Target="https://www.leagueofgraphs.com/es/summoner/las/Choqlov-LAS" TargetMode="External"/><Relationship Id="rId120" Type="http://schemas.openxmlformats.org/officeDocument/2006/relationships/hyperlink" Target="https://drive.google.com/open?id=1HH55ngPTrodDGCUlnABwEVkix_ETOxiy" TargetMode="External"/><Relationship Id="rId241" Type="http://schemas.openxmlformats.org/officeDocument/2006/relationships/hyperlink" Target="https://op.gg/lol/summoners/las/JATI-JASM" TargetMode="External"/><Relationship Id="rId362" Type="http://schemas.openxmlformats.org/officeDocument/2006/relationships/hyperlink" Target="https://www.leagueofgraphs.com/es/summoner/las/OreoConLlajua-LAS" TargetMode="External"/><Relationship Id="rId240" Type="http://schemas.openxmlformats.org/officeDocument/2006/relationships/hyperlink" Target="https://drive.google.com/open?id=1ND-5C4oyenBe3yCfwhqp8obzeA0QzH2b" TargetMode="External"/><Relationship Id="rId361" Type="http://schemas.openxmlformats.org/officeDocument/2006/relationships/hyperlink" Target="https://www.leagueofgraphs.com/es/summoner/las/Chinotocola+-Las" TargetMode="External"/><Relationship Id="rId360" Type="http://schemas.openxmlformats.org/officeDocument/2006/relationships/hyperlink" Target="https://drive.google.com/open?id=1CaK2mIhcg05B01QA-GokK1-mrpBrWkvT" TargetMode="External"/><Relationship Id="rId125" Type="http://schemas.openxmlformats.org/officeDocument/2006/relationships/hyperlink" Target="https://op.gg/es/lol/summoners/las/kioshy99-LAS" TargetMode="External"/><Relationship Id="rId246" Type="http://schemas.openxmlformats.org/officeDocument/2006/relationships/hyperlink" Target="https://op.gg/lol/summoners/lan/panda128-xdd" TargetMode="External"/><Relationship Id="rId367" Type="http://schemas.openxmlformats.org/officeDocument/2006/relationships/hyperlink" Target="https://op.gg/es/lol/summoners/las/EDDYKANNON-LAS" TargetMode="External"/><Relationship Id="rId124" Type="http://schemas.openxmlformats.org/officeDocument/2006/relationships/hyperlink" Target="https://op.gg/es/lol/summoners/las/KiNgCriTTeR1258-PERU" TargetMode="External"/><Relationship Id="rId245" Type="http://schemas.openxmlformats.org/officeDocument/2006/relationships/hyperlink" Target="https://op.gg/lol/summoners/lan/Darkless-LAN" TargetMode="External"/><Relationship Id="rId366" Type="http://schemas.openxmlformats.org/officeDocument/2006/relationships/hyperlink" Target="https://drive.google.com/open?id=14eCbaQxL3d-RyQoE5yeNSnorrvyNtXp9" TargetMode="External"/><Relationship Id="rId123" Type="http://schemas.openxmlformats.org/officeDocument/2006/relationships/hyperlink" Target="https://op.gg/es/lol/summoners/search?q=mercenaryo%23LAS&amp;region=las" TargetMode="External"/><Relationship Id="rId244" Type="http://schemas.openxmlformats.org/officeDocument/2006/relationships/hyperlink" Target="https://op.gg/lol/summoners/las/Bobby%20Huntrix-TWICE" TargetMode="External"/><Relationship Id="rId365" Type="http://schemas.openxmlformats.org/officeDocument/2006/relationships/hyperlink" Target="https://op.gg/es/lol/summoners/las/Tio%20Trollcel-LAS" TargetMode="External"/><Relationship Id="rId122" Type="http://schemas.openxmlformats.org/officeDocument/2006/relationships/hyperlink" Target="https://op.gg/es/lol/summoners/las/EST%20Pain-PA1N" TargetMode="External"/><Relationship Id="rId243" Type="http://schemas.openxmlformats.org/officeDocument/2006/relationships/hyperlink" Target="https://op.gg/lol/summoners/lan/Null-BOMBA" TargetMode="External"/><Relationship Id="rId364" Type="http://schemas.openxmlformats.org/officeDocument/2006/relationships/hyperlink" Target="https://op.gg/es/lol/summoners/las/PanchoPistola02-LAS" TargetMode="External"/><Relationship Id="rId95" Type="http://schemas.openxmlformats.org/officeDocument/2006/relationships/hyperlink" Target="https://op.gg/lol/summoners/las/Rai0Z-LAS" TargetMode="External"/><Relationship Id="rId94" Type="http://schemas.openxmlformats.org/officeDocument/2006/relationships/hyperlink" Target="https://op.gg/lol/summoners/las/Dashadona-LAS" TargetMode="External"/><Relationship Id="rId97" Type="http://schemas.openxmlformats.org/officeDocument/2006/relationships/hyperlink" Target="https://drive.google.com/open?id=1Yy-8l8eLaEUTn_YKudKENt7IE0RfEUwh" TargetMode="External"/><Relationship Id="rId96" Type="http://schemas.openxmlformats.org/officeDocument/2006/relationships/hyperlink" Target="https://op.gg/lol/summoners/las/emma%20watsoNN-LAS" TargetMode="External"/><Relationship Id="rId99" Type="http://schemas.openxmlformats.org/officeDocument/2006/relationships/hyperlink" Target="https://op.gg/es/lol/summoners/las/MiCl%C3%B8Bid-LAS" TargetMode="External"/><Relationship Id="rId98" Type="http://schemas.openxmlformats.org/officeDocument/2006/relationships/hyperlink" Target="https://drive.google.com/open?id=15KJHb8leBDMBjNtM6FluHlcGzOgrTtRr" TargetMode="External"/><Relationship Id="rId91" Type="http://schemas.openxmlformats.org/officeDocument/2006/relationships/hyperlink" Target="https://op.gg/es/lol/summoners/las/ohh%20my%20GoOoOoOoD-LAS" TargetMode="External"/><Relationship Id="rId90" Type="http://schemas.openxmlformats.org/officeDocument/2006/relationships/hyperlink" Target="https://drive.google.com/open?id=1MpdAShTdCfFm02F9KhhrcAEtkaH9QveA" TargetMode="External"/><Relationship Id="rId93" Type="http://schemas.openxmlformats.org/officeDocument/2006/relationships/hyperlink" Target="https://op.gg/lol/summoners/las/Yamamex-LAS" TargetMode="External"/><Relationship Id="rId92" Type="http://schemas.openxmlformats.org/officeDocument/2006/relationships/hyperlink" Target="https://op.gg/lol/summoners/las/watsonw-LAS" TargetMode="External"/><Relationship Id="rId118" Type="http://schemas.openxmlformats.org/officeDocument/2006/relationships/hyperlink" Target="https://op.gg/lol/summoners/las/The%20Shoot3r-LAS" TargetMode="External"/><Relationship Id="rId239" Type="http://schemas.openxmlformats.org/officeDocument/2006/relationships/hyperlink" Target="https://op.gg/es/lol/summoners/las/PanicAtRift-1899" TargetMode="External"/><Relationship Id="rId117" Type="http://schemas.openxmlformats.org/officeDocument/2006/relationships/hyperlink" Target="https://op.gg/es/lol/summoners/las/%E6%9C%AA%E6%9D%A5%E3%81%AE%E9%9F%B3-1999" TargetMode="External"/><Relationship Id="rId238" Type="http://schemas.openxmlformats.org/officeDocument/2006/relationships/hyperlink" Target="https://op.gg/es/lol/summoners/las/gokun-158" TargetMode="External"/><Relationship Id="rId359" Type="http://schemas.openxmlformats.org/officeDocument/2006/relationships/hyperlink" Target="https://drive.google.com/open?id=1IEUNEezLg-CMn_i_OnGV3oS-8ZdQzwB2" TargetMode="External"/><Relationship Id="rId116" Type="http://schemas.openxmlformats.org/officeDocument/2006/relationships/hyperlink" Target="https://op.gg/lol/summoners/las/elmontador123-LAS" TargetMode="External"/><Relationship Id="rId237" Type="http://schemas.openxmlformats.org/officeDocument/2006/relationships/hyperlink" Target="https://op.gg/es/lol/summoners/las/Piroo-LAS" TargetMode="External"/><Relationship Id="rId358" Type="http://schemas.openxmlformats.org/officeDocument/2006/relationships/hyperlink" Target="https://op.gg/es/lol/summoners/las/anjhelo7727-LAS" TargetMode="External"/><Relationship Id="rId115" Type="http://schemas.openxmlformats.org/officeDocument/2006/relationships/hyperlink" Target="https://op.gg/lol/summoners/las/Gezz%20G-LAS" TargetMode="External"/><Relationship Id="rId236" Type="http://schemas.openxmlformats.org/officeDocument/2006/relationships/hyperlink" Target="https://op.gg/es/lol/summoners/las/El%20Oogie%20Boogie-LAS" TargetMode="External"/><Relationship Id="rId357" Type="http://schemas.openxmlformats.org/officeDocument/2006/relationships/hyperlink" Target="https://op.gg/es/lol/summoners/las/Lepok%C3%A5-LAS" TargetMode="External"/><Relationship Id="rId119" Type="http://schemas.openxmlformats.org/officeDocument/2006/relationships/hyperlink" Target="https://op.gg/lol/summoners/las/kurivo-LAS" TargetMode="External"/><Relationship Id="rId110" Type="http://schemas.openxmlformats.org/officeDocument/2006/relationships/hyperlink" Target="https://op.gg/lol/summoners/las/Ghost62-LAS" TargetMode="External"/><Relationship Id="rId231" Type="http://schemas.openxmlformats.org/officeDocument/2006/relationships/hyperlink" Target="https://op.gg/lol/summoners/las/Lechuguintutula-GORDO" TargetMode="External"/><Relationship Id="rId352" Type="http://schemas.openxmlformats.org/officeDocument/2006/relationships/hyperlink" Target="https://drive.google.com/open?id=1Z9pPbpt-tS22Y1I0SrbOwRVZM4euhg5_" TargetMode="External"/><Relationship Id="rId230" Type="http://schemas.openxmlformats.org/officeDocument/2006/relationships/hyperlink" Target="https://op.gg/es/lol/summoners/las/PyPyroxBoy-TERZA" TargetMode="External"/><Relationship Id="rId351" Type="http://schemas.openxmlformats.org/officeDocument/2006/relationships/hyperlink" Target="https://drive.google.com/open?id=12MRXIjKNK0dRgoP_fmyEqOUD1CDeifch" TargetMode="External"/><Relationship Id="rId350" Type="http://schemas.openxmlformats.org/officeDocument/2006/relationships/hyperlink" Target="https://op.gg/es/lol/summoners/las/CKA%20CRISTH11-ALG" TargetMode="External"/><Relationship Id="rId114" Type="http://schemas.openxmlformats.org/officeDocument/2006/relationships/hyperlink" Target="https://op.gg/lol/summoners/las/Inmortalicus-LAS" TargetMode="External"/><Relationship Id="rId235" Type="http://schemas.openxmlformats.org/officeDocument/2006/relationships/hyperlink" Target="https://op.gg/es/lol/summoners/las/rafikiom-LAS" TargetMode="External"/><Relationship Id="rId356" Type="http://schemas.openxmlformats.org/officeDocument/2006/relationships/hyperlink" Target="https://op.gg/es/lol/summoners/lan/Hidex-7656" TargetMode="External"/><Relationship Id="rId113" Type="http://schemas.openxmlformats.org/officeDocument/2006/relationships/hyperlink" Target="https://drive.google.com/open?id=12_-XVBbfVBebSD1KKZV3_FB_fRIJwoqs" TargetMode="External"/><Relationship Id="rId234" Type="http://schemas.openxmlformats.org/officeDocument/2006/relationships/hyperlink" Target="https://drive.google.com/open?id=1RkTKHNjSGcG5fIz93wDu-TMrEg9vBJur" TargetMode="External"/><Relationship Id="rId355" Type="http://schemas.openxmlformats.org/officeDocument/2006/relationships/hyperlink" Target="https://op.gg/es/lol/summoners/lan/Iscar-snow" TargetMode="External"/><Relationship Id="rId112" Type="http://schemas.openxmlformats.org/officeDocument/2006/relationships/hyperlink" Target="https://op.gg/lol/summoners/las/XXDeathLionXX-LAS" TargetMode="External"/><Relationship Id="rId233" Type="http://schemas.openxmlformats.org/officeDocument/2006/relationships/hyperlink" Target="https://drive.google.com/open?id=15upWvUX9e-jGW010jeO97bMOLBiUWl3d" TargetMode="External"/><Relationship Id="rId354" Type="http://schemas.openxmlformats.org/officeDocument/2006/relationships/hyperlink" Target="https://op.gg/es/lol/summoners/lan/HEIZ-ONER" TargetMode="External"/><Relationship Id="rId111" Type="http://schemas.openxmlformats.org/officeDocument/2006/relationships/hyperlink" Target="https://op.gg/lol/summoners/las/Krayvhus-LAS" TargetMode="External"/><Relationship Id="rId232" Type="http://schemas.openxmlformats.org/officeDocument/2006/relationships/hyperlink" Target="https://op.gg/lol/summoners/las/MSA-7466" TargetMode="External"/><Relationship Id="rId353" Type="http://schemas.openxmlformats.org/officeDocument/2006/relationships/hyperlink" Target="https://op.gg/es/lol/summoners/lan/ladermon2-LAN" TargetMode="External"/><Relationship Id="rId305" Type="http://schemas.openxmlformats.org/officeDocument/2006/relationships/hyperlink" Target="https://drive.google.com/open?id=19tw37jgQiRo-eibysXSXnGG8j-fWZsE1" TargetMode="External"/><Relationship Id="rId304" Type="http://schemas.openxmlformats.org/officeDocument/2006/relationships/hyperlink" Target="https://op.gg/es/lol/summoners/las/FOcus%20al%20adc-ptes" TargetMode="External"/><Relationship Id="rId303" Type="http://schemas.openxmlformats.org/officeDocument/2006/relationships/hyperlink" Target="https://op.gg/es/lol/summoners/las/dig%20degtrex-2203" TargetMode="External"/><Relationship Id="rId302" Type="http://schemas.openxmlformats.org/officeDocument/2006/relationships/hyperlink" Target="https://op.gg/es/lol/summoners/las/RobiMani-LAS" TargetMode="External"/><Relationship Id="rId309" Type="http://schemas.openxmlformats.org/officeDocument/2006/relationships/hyperlink" Target="https://op.gg/lol/summoners/las/DCG%20Bocho-ING" TargetMode="External"/><Relationship Id="rId308" Type="http://schemas.openxmlformats.org/officeDocument/2006/relationships/hyperlink" Target="https://op.gg/lol/summoners/las/DCG%20Khuzy-JPG" TargetMode="External"/><Relationship Id="rId307" Type="http://schemas.openxmlformats.org/officeDocument/2006/relationships/hyperlink" Target="https://op.gg/lol/summoners/las/DCG%20DradocK-ING" TargetMode="External"/><Relationship Id="rId306" Type="http://schemas.openxmlformats.org/officeDocument/2006/relationships/hyperlink" Target="https://drive.google.com/open?id=1roxN8lTu_vfRo0S9Ld3omLpx2Bu1k_9-" TargetMode="External"/><Relationship Id="rId301" Type="http://schemas.openxmlformats.org/officeDocument/2006/relationships/hyperlink" Target="https://op.gg/es/lol/summoners/las/pentakill%20ADC-LAS" TargetMode="External"/><Relationship Id="rId300" Type="http://schemas.openxmlformats.org/officeDocument/2006/relationships/hyperlink" Target="https://op.gg/es/lol/summoners/las/%20%20Cristin07-LAS" TargetMode="External"/><Relationship Id="rId206" Type="http://schemas.openxmlformats.org/officeDocument/2006/relationships/hyperlink" Target="https://op.gg/lol/summoners/las/%CE%98%CE%95%CE%9F%CE%A3%20%CE%9F%CE%9B%CE%A9%CE%9D-AAJB" TargetMode="External"/><Relationship Id="rId327" Type="http://schemas.openxmlformats.org/officeDocument/2006/relationships/hyperlink" Target="https://op.gg/lol/summoners/las/11n011NL-5021" TargetMode="External"/><Relationship Id="rId205" Type="http://schemas.openxmlformats.org/officeDocument/2006/relationships/hyperlink" Target="https://op.gg/lol/summoners/las/GinEkkologo-VPH" TargetMode="External"/><Relationship Id="rId326" Type="http://schemas.openxmlformats.org/officeDocument/2006/relationships/hyperlink" Target="https://op.gg/lol/summoners/las/ECNERWAL-117" TargetMode="External"/><Relationship Id="rId204" Type="http://schemas.openxmlformats.org/officeDocument/2006/relationships/hyperlink" Target="https://op.gg/lol/summoners/las/A15%20los%20Gancitos-xxx" TargetMode="External"/><Relationship Id="rId325" Type="http://schemas.openxmlformats.org/officeDocument/2006/relationships/hyperlink" Target="https://op.gg/lol/summoners/las/wolftirent-Vic" TargetMode="External"/><Relationship Id="rId203" Type="http://schemas.openxmlformats.org/officeDocument/2006/relationships/hyperlink" Target="https://drive.google.com/open?id=1YISQsaj1H8Eqz9e4DCk5gUeTAQeuyS3w" TargetMode="External"/><Relationship Id="rId324" Type="http://schemas.openxmlformats.org/officeDocument/2006/relationships/hyperlink" Target="https://op.gg/lol/summoners/las/Nixlag-lol" TargetMode="External"/><Relationship Id="rId209" Type="http://schemas.openxmlformats.org/officeDocument/2006/relationships/hyperlink" Target="https://drive.google.com/open?id=13Vc9lrA9XjdpzfM30-yWYe7qLnCy2LvW" TargetMode="External"/><Relationship Id="rId208" Type="http://schemas.openxmlformats.org/officeDocument/2006/relationships/hyperlink" Target="https://op.gg/lol/summoners/las/MisaRynn-666" TargetMode="External"/><Relationship Id="rId329" Type="http://schemas.openxmlformats.org/officeDocument/2006/relationships/hyperlink" Target="https://drive.google.com/open?id=1TlOVQqwWL1EPk7gHA0uvMVfTHhdy_D_U" TargetMode="External"/><Relationship Id="rId207" Type="http://schemas.openxmlformats.org/officeDocument/2006/relationships/hyperlink" Target="https://op.gg/lol/summoners/las/Black%20Sabbath-la2" TargetMode="External"/><Relationship Id="rId328" Type="http://schemas.openxmlformats.org/officeDocument/2006/relationships/hyperlink" Target="https://drive.google.com/open?id=1-iTCrR6wI680f8rbnbCyz1XfL48OwyOB" TargetMode="External"/><Relationship Id="rId202" Type="http://schemas.openxmlformats.org/officeDocument/2006/relationships/hyperlink" Target="https://op.gg/es/lol/summoners/las/hitomi-77205" TargetMode="External"/><Relationship Id="rId323" Type="http://schemas.openxmlformats.org/officeDocument/2006/relationships/hyperlink" Target="https://op.gg/lol/summoners/las/leofranguara-1711" TargetMode="External"/><Relationship Id="rId201" Type="http://schemas.openxmlformats.org/officeDocument/2006/relationships/hyperlink" Target="https://op.gg/es/lol/summoners/las/UCAM%20DK-6010" TargetMode="External"/><Relationship Id="rId322" Type="http://schemas.openxmlformats.org/officeDocument/2006/relationships/hyperlink" Target="https://op.gg/lol/summoners/las/mnkl-swift" TargetMode="External"/><Relationship Id="rId200" Type="http://schemas.openxmlformats.org/officeDocument/2006/relationships/hyperlink" Target="https://op.gg/es/lol/summoners/las/MiniDK-LAS" TargetMode="External"/><Relationship Id="rId321" Type="http://schemas.openxmlformats.org/officeDocument/2006/relationships/hyperlink" Target="https://drive.google.com/open?id=1xvX8PbOpAVxk_lxUKgJJ7E70EP4TbqBt" TargetMode="External"/><Relationship Id="rId320" Type="http://schemas.openxmlformats.org/officeDocument/2006/relationships/hyperlink" Target="https://op.gg/lol/summoners/las/R2%20IoIoIexo-LLLX" TargetMode="External"/><Relationship Id="rId316" Type="http://schemas.openxmlformats.org/officeDocument/2006/relationships/hyperlink" Target="https://op.gg/es/lol/summoners/las/R2%20RaizenSteel-Road2" TargetMode="External"/><Relationship Id="rId315" Type="http://schemas.openxmlformats.org/officeDocument/2006/relationships/hyperlink" Target="https://op.gg/lol/summoners/las/R2%20KiochideuZ-lin" TargetMode="External"/><Relationship Id="rId314" Type="http://schemas.openxmlformats.org/officeDocument/2006/relationships/hyperlink" Target="https://drive.google.com/open?id=1wUxurK1lI0tmJMni2sfZ1pyNlysXld7-" TargetMode="External"/><Relationship Id="rId313" Type="http://schemas.openxmlformats.org/officeDocument/2006/relationships/hyperlink" Target="https://drive.google.com/open?id=11lWH3LR-jP11e54H2vF_kUNK4K5YI1CN" TargetMode="External"/><Relationship Id="rId319" Type="http://schemas.openxmlformats.org/officeDocument/2006/relationships/hyperlink" Target="https://op.gg/lol/summoners/las/G2%20Alers09-LASAN" TargetMode="External"/><Relationship Id="rId318" Type="http://schemas.openxmlformats.org/officeDocument/2006/relationships/hyperlink" Target="https://op.gg/lol/summoners/las/R2%20Coll-Coll" TargetMode="External"/><Relationship Id="rId317" Type="http://schemas.openxmlformats.org/officeDocument/2006/relationships/hyperlink" Target="https://op.gg/lol/summoners/las/R2%20Tarrazona-7777" TargetMode="External"/><Relationship Id="rId312" Type="http://schemas.openxmlformats.org/officeDocument/2006/relationships/hyperlink" Target="https://op.gg/lol/summoners/las/DCG%20Radis-PTS" TargetMode="External"/><Relationship Id="rId311" Type="http://schemas.openxmlformats.org/officeDocument/2006/relationships/hyperlink" Target="https://op.gg/lol/summoners/las/DCG%20Nomacalaris-XYZ" TargetMode="External"/><Relationship Id="rId310" Type="http://schemas.openxmlformats.org/officeDocument/2006/relationships/hyperlink" Target="https://op.gg/lol/summoners/las/DCG%20gato%20dron-RLC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op.gg/es/lol/summoners/las/GLDP%20Mikame-3648" TargetMode="External"/><Relationship Id="rId194" Type="http://schemas.openxmlformats.org/officeDocument/2006/relationships/hyperlink" Target="https://op.gg/es/lol/summoners/las/Showtime-EBG" TargetMode="External"/><Relationship Id="rId193" Type="http://schemas.openxmlformats.org/officeDocument/2006/relationships/hyperlink" Target="https://op.gg/es/lol/summoners/las/L%20P-00001" TargetMode="External"/><Relationship Id="rId192" Type="http://schemas.openxmlformats.org/officeDocument/2006/relationships/hyperlink" Target="https://op.gg/es/lol/summoners/las/AQS%20The%20Knight-3451" TargetMode="External"/><Relationship Id="rId191" Type="http://schemas.openxmlformats.org/officeDocument/2006/relationships/hyperlink" Target="https://op.gg/es/lol/summoners/las/AQS%20KentoMiyaura-AQS" TargetMode="External"/><Relationship Id="rId187" Type="http://schemas.openxmlformats.org/officeDocument/2006/relationships/hyperlink" Target="https://op.gg/lol/summoners/lan/panda128-xdd" TargetMode="External"/><Relationship Id="rId186" Type="http://schemas.openxmlformats.org/officeDocument/2006/relationships/hyperlink" Target="https://op.gg/lol/summoners/lan/Darkless-LAN" TargetMode="External"/><Relationship Id="rId185" Type="http://schemas.openxmlformats.org/officeDocument/2006/relationships/hyperlink" Target="https://op.gg/es/lol/summoners/las/PanicAtRift-1899" TargetMode="External"/><Relationship Id="rId184" Type="http://schemas.openxmlformats.org/officeDocument/2006/relationships/hyperlink" Target="https://op.gg/lol/summoners/las/Bobby%20Huntrix-TWICE" TargetMode="External"/><Relationship Id="rId189" Type="http://schemas.openxmlformats.org/officeDocument/2006/relationships/hyperlink" Target="https://op.gg/es/lol/summoners/las/AQS%20JAID-AQS" TargetMode="External"/><Relationship Id="rId188" Type="http://schemas.openxmlformats.org/officeDocument/2006/relationships/hyperlink" Target="https://op.gg/es/lol/summoners/las/MYSTR%CE%94L-L%CE%94S" TargetMode="External"/><Relationship Id="rId183" Type="http://schemas.openxmlformats.org/officeDocument/2006/relationships/hyperlink" Target="https://op.gg/es/lol/summoners/las/gokun-158" TargetMode="External"/><Relationship Id="rId182" Type="http://schemas.openxmlformats.org/officeDocument/2006/relationships/hyperlink" Target="https://op.gg/lol/summoners/lan/Null-BOMBA" TargetMode="External"/><Relationship Id="rId181" Type="http://schemas.openxmlformats.org/officeDocument/2006/relationships/hyperlink" Target="https://op.gg/es/lol/summoners/las/Piroo-LAS" TargetMode="External"/><Relationship Id="rId180" Type="http://schemas.openxmlformats.org/officeDocument/2006/relationships/hyperlink" Target="https://op.gg/lol/summoners/las/Piolin%201-LAS" TargetMode="External"/><Relationship Id="rId176" Type="http://schemas.openxmlformats.org/officeDocument/2006/relationships/hyperlink" Target="https://op.gg/es/lol/summoners/las/LAP%20BacArdi06-LAS" TargetMode="External"/><Relationship Id="rId297" Type="http://schemas.openxmlformats.org/officeDocument/2006/relationships/hyperlink" Target="https://op.gg/lol/summoners/las/DirtyDianaMJ-LAS" TargetMode="External"/><Relationship Id="rId175" Type="http://schemas.openxmlformats.org/officeDocument/2006/relationships/hyperlink" Target="https://op.gg/es/lol/summoners/las/Showgunt-Avion" TargetMode="External"/><Relationship Id="rId296" Type="http://schemas.openxmlformats.org/officeDocument/2006/relationships/hyperlink" Target="https://www.leagueofgraphs.com/summoner/lan/lobsang456-LAN" TargetMode="External"/><Relationship Id="rId174" Type="http://schemas.openxmlformats.org/officeDocument/2006/relationships/hyperlink" Target="https://op.gg/es/lol/summoners/las/Sanspolexe-3332" TargetMode="External"/><Relationship Id="rId295" Type="http://schemas.openxmlformats.org/officeDocument/2006/relationships/hyperlink" Target="https://op.gg/es/lol/summoners/las/Martincho0-DTB" TargetMode="External"/><Relationship Id="rId173" Type="http://schemas.openxmlformats.org/officeDocument/2006/relationships/hyperlink" Target="https://op.gg/es/lol/summoners/las/ACM1PTXDUWU-LAS" TargetMode="External"/><Relationship Id="rId294" Type="http://schemas.openxmlformats.org/officeDocument/2006/relationships/hyperlink" Target="https://www.leagueofgraphs.com/summoner/lan/ayrtonk12-2512" TargetMode="External"/><Relationship Id="rId179" Type="http://schemas.openxmlformats.org/officeDocument/2006/relationships/hyperlink" Target="https://op.gg/es/lol/summoners/las/El%20Oogie%20Boogie-LAS" TargetMode="External"/><Relationship Id="rId178" Type="http://schemas.openxmlformats.org/officeDocument/2006/relationships/hyperlink" Target="https://op.gg/lol/summoners/las/JATI-JASM" TargetMode="External"/><Relationship Id="rId299" Type="http://schemas.openxmlformats.org/officeDocument/2006/relationships/hyperlink" Target="https://op.gg/es/lol/summoners/las/KX%20Pynkless-LAS" TargetMode="External"/><Relationship Id="rId177" Type="http://schemas.openxmlformats.org/officeDocument/2006/relationships/hyperlink" Target="https://op.gg/es/lol/summoners/las/rafikiom-LAS" TargetMode="External"/><Relationship Id="rId298" Type="http://schemas.openxmlformats.org/officeDocument/2006/relationships/hyperlink" Target="https://www.leagueofgraphs.com/summoner/lan/chocozx-LAN" TargetMode="External"/><Relationship Id="rId198" Type="http://schemas.openxmlformats.org/officeDocument/2006/relationships/hyperlink" Target="https://op.gg/es/lol/summoners/las/AQS%20YharonGod-LAS" TargetMode="External"/><Relationship Id="rId197" Type="http://schemas.openxmlformats.org/officeDocument/2006/relationships/hyperlink" Target="https://op.gg/es/lol/summoners/las/DanoVan1113-LAS" TargetMode="External"/><Relationship Id="rId196" Type="http://schemas.openxmlformats.org/officeDocument/2006/relationships/hyperlink" Target="https://op.gg/es/lol/summoners/las/NORAHC-LAS" TargetMode="External"/><Relationship Id="rId195" Type="http://schemas.openxmlformats.org/officeDocument/2006/relationships/hyperlink" Target="https://op.gg/es/lol/summoners/las/AQS%20TeAmoSilvia-nwn" TargetMode="External"/><Relationship Id="rId199" Type="http://schemas.openxmlformats.org/officeDocument/2006/relationships/hyperlink" Target="https://op.gg/es/lol/summoners/las/Javier%20Meave-JAVI" TargetMode="External"/><Relationship Id="rId150" Type="http://schemas.openxmlformats.org/officeDocument/2006/relationships/hyperlink" Target="https://discord.gg/mW4uWsGA" TargetMode="External"/><Relationship Id="rId271" Type="http://schemas.openxmlformats.org/officeDocument/2006/relationships/hyperlink" Target="https://op.gg/es/lol/summoners/las/Lepok%C3%A5-LAS" TargetMode="External"/><Relationship Id="rId392" Type="http://schemas.openxmlformats.org/officeDocument/2006/relationships/hyperlink" Target="https://op.gg/lol/summoners/lan/Ak1R%C3%A1-LAN" TargetMode="External"/><Relationship Id="rId270" Type="http://schemas.openxmlformats.org/officeDocument/2006/relationships/hyperlink" Target="https://op.gg/es/lol/summoners/las/CKA%20CRISTH11-ALG" TargetMode="External"/><Relationship Id="rId391" Type="http://schemas.openxmlformats.org/officeDocument/2006/relationships/hyperlink" Target="https://op.gg/es/lol/summoners/las/Haku-Dey" TargetMode="External"/><Relationship Id="rId390" Type="http://schemas.openxmlformats.org/officeDocument/2006/relationships/hyperlink" Target="https://op.gg/es/lol/summoners/lan/EN1GMA-LAN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149" Type="http://schemas.openxmlformats.org/officeDocument/2006/relationships/hyperlink" Target="https://op.gg/es/lol/summoners/las/hitomi-77205" TargetMode="External"/><Relationship Id="rId4" Type="http://schemas.openxmlformats.org/officeDocument/2006/relationships/hyperlink" Target="https://op.gg/es/lol/summoners/las/Renzihto-LAS" TargetMode="External"/><Relationship Id="rId148" Type="http://schemas.openxmlformats.org/officeDocument/2006/relationships/hyperlink" Target="https://op.gg/es/lol/summoners/las/UCAM%20DK-6010" TargetMode="External"/><Relationship Id="rId269" Type="http://schemas.openxmlformats.org/officeDocument/2006/relationships/hyperlink" Target="https://op.gg/es/lol/summoners/lan/Hidex-7656" TargetMode="External"/><Relationship Id="rId9" Type="http://schemas.openxmlformats.org/officeDocument/2006/relationships/hyperlink" Target="https://op.gg/es/lol/summoners/las/SLK%20Remmy-GGEZ" TargetMode="External"/><Relationship Id="rId143" Type="http://schemas.openxmlformats.org/officeDocument/2006/relationships/hyperlink" Target="https://op.gg/es/lol/summoners/las/Salchipapaneitor-LAS" TargetMode="External"/><Relationship Id="rId264" Type="http://schemas.openxmlformats.org/officeDocument/2006/relationships/hyperlink" Target="https://op.gg/es/lol/summoners/las/CKA%20icyplays-CKA" TargetMode="External"/><Relationship Id="rId385" Type="http://schemas.openxmlformats.org/officeDocument/2006/relationships/hyperlink" Target="https://op.gg/es/lol/summoners/lan/Lizandro7w7-LAN" TargetMode="External"/><Relationship Id="rId142" Type="http://schemas.openxmlformats.org/officeDocument/2006/relationships/hyperlink" Target="https://op.gg/es/lol/summoners/las/anthony23-1506" TargetMode="External"/><Relationship Id="rId263" Type="http://schemas.openxmlformats.org/officeDocument/2006/relationships/hyperlink" Target="https://op.gg/es/lol/summoners/lan/ladermon2-LAN" TargetMode="External"/><Relationship Id="rId384" Type="http://schemas.openxmlformats.org/officeDocument/2006/relationships/hyperlink" Target="https://op.gg/es/lol/summoners/las/TFBSumancuroinca-troll" TargetMode="External"/><Relationship Id="rId141" Type="http://schemas.openxmlformats.org/officeDocument/2006/relationships/hyperlink" Target="https://op.gg/es/lol/summoners/las/Dolphy302-LAS" TargetMode="External"/><Relationship Id="rId262" Type="http://schemas.openxmlformats.org/officeDocument/2006/relationships/hyperlink" Target="https://op.gg/lol/summoners/las/DASSKING-OWO" TargetMode="External"/><Relationship Id="rId383" Type="http://schemas.openxmlformats.org/officeDocument/2006/relationships/hyperlink" Target="https://op.gg/es/lol/summoners/lan/JOHN%20TUIS-LAN" TargetMode="External"/><Relationship Id="rId140" Type="http://schemas.openxmlformats.org/officeDocument/2006/relationships/hyperlink" Target="https://op.gg/es/lol/summoners/las/TAYRUZZ-5585" TargetMode="External"/><Relationship Id="rId261" Type="http://schemas.openxmlformats.org/officeDocument/2006/relationships/hyperlink" Target="https://op.gg/es/lol/summoners/las/Carlos%20Prime-YNG" TargetMode="External"/><Relationship Id="rId382" Type="http://schemas.openxmlformats.org/officeDocument/2006/relationships/hyperlink" Target="https://op.gg/es/lol/summoners/las/TFB%20Cloud-3867" TargetMode="External"/><Relationship Id="rId5" Type="http://schemas.openxmlformats.org/officeDocument/2006/relationships/hyperlink" Target="https://op.gg/es/lol/summoners/las/SLK%20Izrangel-1666" TargetMode="External"/><Relationship Id="rId147" Type="http://schemas.openxmlformats.org/officeDocument/2006/relationships/hyperlink" Target="https://op.gg/es/lol/summoners/las/GabyEsA-LAS" TargetMode="External"/><Relationship Id="rId268" Type="http://schemas.openxmlformats.org/officeDocument/2006/relationships/hyperlink" Target="https://op.gg/es/lol/summoners/las/CKA%20Sun-SCZ" TargetMode="External"/><Relationship Id="rId389" Type="http://schemas.openxmlformats.org/officeDocument/2006/relationships/hyperlink" Target="https://op.gg/es/lol/summoners/las/DemonBalor-CTG" TargetMode="External"/><Relationship Id="rId6" Type="http://schemas.openxmlformats.org/officeDocument/2006/relationships/hyperlink" Target="https://op.gg/es/lol/summoners/las/Clextoni-LAS" TargetMode="External"/><Relationship Id="rId146" Type="http://schemas.openxmlformats.org/officeDocument/2006/relationships/hyperlink" Target="https://op.gg/es/lol/summoners/las/MiniDK-LAS" TargetMode="External"/><Relationship Id="rId267" Type="http://schemas.openxmlformats.org/officeDocument/2006/relationships/hyperlink" Target="https://op.gg/es/lol/summoners/lan/Iscar-snow" TargetMode="External"/><Relationship Id="rId388" Type="http://schemas.openxmlformats.org/officeDocument/2006/relationships/hyperlink" Target="https://op.gg/es/lol/summoners/las/TFB%20Messi-1037" TargetMode="External"/><Relationship Id="rId7" Type="http://schemas.openxmlformats.org/officeDocument/2006/relationships/hyperlink" Target="https://op.gg/es/lol/summoners/las/SLK%20Darkxz-9215" TargetMode="External"/><Relationship Id="rId145" Type="http://schemas.openxmlformats.org/officeDocument/2006/relationships/hyperlink" Target="https://op.gg/lol/summoners/las/PonchytaProMax-LAS" TargetMode="External"/><Relationship Id="rId266" Type="http://schemas.openxmlformats.org/officeDocument/2006/relationships/hyperlink" Target="https://op.gg/es/lol/summoners/las/CKA%20MRodrigoxd-8429" TargetMode="External"/><Relationship Id="rId387" Type="http://schemas.openxmlformats.org/officeDocument/2006/relationships/hyperlink" Target="https://op.gg/es/lol/summoners/lan/EZEKIEL%20XD-LAN" TargetMode="External"/><Relationship Id="rId8" Type="http://schemas.openxmlformats.org/officeDocument/2006/relationships/hyperlink" Target="https://op.gg/es/lol/summoners/las/%D0%9C%D0%AF%20Kobayashi-DOPA" TargetMode="External"/><Relationship Id="rId144" Type="http://schemas.openxmlformats.org/officeDocument/2006/relationships/hyperlink" Target="https://op.gg/es/lol/summoners/las/BRENTHZ-4033" TargetMode="External"/><Relationship Id="rId265" Type="http://schemas.openxmlformats.org/officeDocument/2006/relationships/hyperlink" Target="https://op.gg/es/lol/summoners/lan/HEIZ-ONER" TargetMode="External"/><Relationship Id="rId386" Type="http://schemas.openxmlformats.org/officeDocument/2006/relationships/hyperlink" Target="https://op.gg/es/lol/summoners/las/TFB%20FatalizWhite-Fata" TargetMode="External"/><Relationship Id="rId260" Type="http://schemas.openxmlformats.org/officeDocument/2006/relationships/hyperlink" Target="https://www.leagueofgraphs.com/es/summoner/lan/SimpSOSA-LAN" TargetMode="External"/><Relationship Id="rId381" Type="http://schemas.openxmlformats.org/officeDocument/2006/relationships/hyperlink" Target="https://op.gg/es/lol/summoners/lan/JHONATAN%20XS-LAN" TargetMode="External"/><Relationship Id="rId380" Type="http://schemas.openxmlformats.org/officeDocument/2006/relationships/hyperlink" Target="https://op.gg/es/lol/summoners/las/TFB%20Barkiel-1998" TargetMode="External"/><Relationship Id="rId139" Type="http://schemas.openxmlformats.org/officeDocument/2006/relationships/hyperlink" Target="https://op.gg/es/lol/summoners/las/angelcaido434-2004" TargetMode="External"/><Relationship Id="rId138" Type="http://schemas.openxmlformats.org/officeDocument/2006/relationships/hyperlink" Target="https://op.gg/es/lol/summoners/lan/Revolt-LAN" TargetMode="External"/><Relationship Id="rId259" Type="http://schemas.openxmlformats.org/officeDocument/2006/relationships/hyperlink" Target="https://op.gg/lol/summoners/las/DirtyDianaMJ-LAS" TargetMode="External"/><Relationship Id="rId137" Type="http://schemas.openxmlformats.org/officeDocument/2006/relationships/hyperlink" Target="https://op.gg/es/lol/summoners/lan/Raven%20Queen-Mishi," TargetMode="External"/><Relationship Id="rId258" Type="http://schemas.openxmlformats.org/officeDocument/2006/relationships/hyperlink" Target="https://op.gg/es/lol/summoners/las/YoSoyJoe-8044" TargetMode="External"/><Relationship Id="rId379" Type="http://schemas.openxmlformats.org/officeDocument/2006/relationships/hyperlink" Target="https://op.gg/es/lol/summoners/lan/RUNBLE-LAN" TargetMode="External"/><Relationship Id="rId132" Type="http://schemas.openxmlformats.org/officeDocument/2006/relationships/hyperlink" Target="https://op.gg/lol/summoners/las/Mcrols-LAS" TargetMode="External"/><Relationship Id="rId253" Type="http://schemas.openxmlformats.org/officeDocument/2006/relationships/hyperlink" Target="https://op.gg/lol/summoners/las/Haoran-CHINA" TargetMode="External"/><Relationship Id="rId374" Type="http://schemas.openxmlformats.org/officeDocument/2006/relationships/hyperlink" Target="https://op.gg/lol/summoners/lan/Justo%20Bolsa-EXT" TargetMode="External"/><Relationship Id="rId131" Type="http://schemas.openxmlformats.org/officeDocument/2006/relationships/hyperlink" Target="https://op.gg/es/lol/summoners/las/WardEnBase-VOYD" TargetMode="External"/><Relationship Id="rId252" Type="http://schemas.openxmlformats.org/officeDocument/2006/relationships/hyperlink" Target="https://op.gg/es/lol/summoners/las/Koltken-LAS" TargetMode="External"/><Relationship Id="rId373" Type="http://schemas.openxmlformats.org/officeDocument/2006/relationships/hyperlink" Target="https://op.gg/es/lol/summoners/las/Lucardy-4587" TargetMode="External"/><Relationship Id="rId130" Type="http://schemas.openxmlformats.org/officeDocument/2006/relationships/hyperlink" Target="https://op.gg/es/lol/summoners/las/ItsJunior%20YS%20-LAS" TargetMode="External"/><Relationship Id="rId251" Type="http://schemas.openxmlformats.org/officeDocument/2006/relationships/hyperlink" Target="https://op.gg/lol/summoners/lan/EL%20PABLEX%20-LAN" TargetMode="External"/><Relationship Id="rId372" Type="http://schemas.openxmlformats.org/officeDocument/2006/relationships/hyperlink" Target="https://op.gg/es/lol/summoners/las/angelDEAD158-2006" TargetMode="External"/><Relationship Id="rId250" Type="http://schemas.openxmlformats.org/officeDocument/2006/relationships/hyperlink" Target="https://op.gg/es/lol/summoners/las/deymarks-LAS" TargetMode="External"/><Relationship Id="rId371" Type="http://schemas.openxmlformats.org/officeDocument/2006/relationships/hyperlink" Target="https://op.gg/lol/summoners/lan/Kiuga-LAN" TargetMode="External"/><Relationship Id="rId136" Type="http://schemas.openxmlformats.org/officeDocument/2006/relationships/hyperlink" Target="https://op.gg/es/lol/summoners/las/DONDOMINGOq-LAS" TargetMode="External"/><Relationship Id="rId257" Type="http://schemas.openxmlformats.org/officeDocument/2006/relationships/hyperlink" Target="https://op.gg/es/lol/summoners/las/T1%20HaMeRfAL-izi" TargetMode="External"/><Relationship Id="rId378" Type="http://schemas.openxmlformats.org/officeDocument/2006/relationships/hyperlink" Target="https://op.gg/es/lol/summoners/las/TFB%20Zedshadow12-2354" TargetMode="External"/><Relationship Id="rId135" Type="http://schemas.openxmlformats.org/officeDocument/2006/relationships/hyperlink" Target="https://op.gg/es/lol/summoners/las/Dr%20Neo%20Cortex-LAS" TargetMode="External"/><Relationship Id="rId256" Type="http://schemas.openxmlformats.org/officeDocument/2006/relationships/hyperlink" Target="https://op.gg/es/lol/summoners/las/ExplosiveSweat2-LPL" TargetMode="External"/><Relationship Id="rId377" Type="http://schemas.openxmlformats.org/officeDocument/2006/relationships/hyperlink" Target="https://op.gg/es/lol/summoners/lan/3r%C3%84-LAN" TargetMode="External"/><Relationship Id="rId134" Type="http://schemas.openxmlformats.org/officeDocument/2006/relationships/hyperlink" Target="https://op.gg/es/lol/summoners/las/%E3%82%A2%E3%83%B3%E3%83%80%E3%83%BC%E3%82%BD%E3%83%B3-WLF" TargetMode="External"/><Relationship Id="rId255" Type="http://schemas.openxmlformats.org/officeDocument/2006/relationships/hyperlink" Target="https://op.gg/es/lol/summoners/las/Post%20Mortem-dllom" TargetMode="External"/><Relationship Id="rId376" Type="http://schemas.openxmlformats.org/officeDocument/2006/relationships/hyperlink" Target="https://op.gg/lol/summoners/las/El%20Shori%20LAS-LAS" TargetMode="External"/><Relationship Id="rId133" Type="http://schemas.openxmlformats.org/officeDocument/2006/relationships/hyperlink" Target="https://op.gg/es/lol/summoners/las/A%C5%81%C4%99%C5%83-LAS" TargetMode="External"/><Relationship Id="rId254" Type="http://schemas.openxmlformats.org/officeDocument/2006/relationships/hyperlink" Target="https://op.gg/es/lol/summoners/las/FbRayvan-564" TargetMode="External"/><Relationship Id="rId375" Type="http://schemas.openxmlformats.org/officeDocument/2006/relationships/hyperlink" Target="https://op.gg/es/lol/summoners/las/Keith%20Nash%20-LAS" TargetMode="External"/><Relationship Id="rId172" Type="http://schemas.openxmlformats.org/officeDocument/2006/relationships/hyperlink" Target="https://op.gg/lol/summoners/las/MSA-7466" TargetMode="External"/><Relationship Id="rId293" Type="http://schemas.openxmlformats.org/officeDocument/2006/relationships/hyperlink" Target="https://op.gg/lol/summoners/las/None-RLA" TargetMode="External"/><Relationship Id="rId171" Type="http://schemas.openxmlformats.org/officeDocument/2006/relationships/hyperlink" Target="https://op.gg/lol/summoners/las/STARIsabella-STAR" TargetMode="External"/><Relationship Id="rId292" Type="http://schemas.openxmlformats.org/officeDocument/2006/relationships/hyperlink" Target="https://op.gg/es/lol/summoners/las/Scary-LAS" TargetMode="External"/><Relationship Id="rId170" Type="http://schemas.openxmlformats.org/officeDocument/2006/relationships/hyperlink" Target="https://op.gg/lol/summoners/las/Lechuguintutula-GORDO" TargetMode="External"/><Relationship Id="rId291" Type="http://schemas.openxmlformats.org/officeDocument/2006/relationships/hyperlink" Target="https://op.gg/es/lol/summoners/las/FNC%20JOEL433-LAS" TargetMode="External"/><Relationship Id="rId290" Type="http://schemas.openxmlformats.org/officeDocument/2006/relationships/hyperlink" Target="https://www.leagueofgraphs.com/es/summoner/las/Minsdestroyers-666" TargetMode="External"/><Relationship Id="rId165" Type="http://schemas.openxmlformats.org/officeDocument/2006/relationships/hyperlink" Target="https://op.gg/lol/summoners/las/Smurf%20Anakin-LAS" TargetMode="External"/><Relationship Id="rId286" Type="http://schemas.openxmlformats.org/officeDocument/2006/relationships/hyperlink" Target="https://op.gg/es/lol/summoners/las/pasivo%20alte%C3%B1o-dvk" TargetMode="External"/><Relationship Id="rId164" Type="http://schemas.openxmlformats.org/officeDocument/2006/relationships/hyperlink" Target="https://op.gg/es/lol/summoners/las/J%C3%A4ger57-LAS" TargetMode="External"/><Relationship Id="rId285" Type="http://schemas.openxmlformats.org/officeDocument/2006/relationships/hyperlink" Target="https://op.gg/es/lol/summoners/las/PanchoPistola02-LAS" TargetMode="External"/><Relationship Id="rId163" Type="http://schemas.openxmlformats.org/officeDocument/2006/relationships/hyperlink" Target="https://op.gg/lol/summoners/las/STAR%20Alice-ST4R" TargetMode="External"/><Relationship Id="rId284" Type="http://schemas.openxmlformats.org/officeDocument/2006/relationships/hyperlink" Target="https://op.gg/es/lol/summoners/las/Shir0w-LAS" TargetMode="External"/><Relationship Id="rId162" Type="http://schemas.openxmlformats.org/officeDocument/2006/relationships/hyperlink" Target="https://op.gg/es/lol/summoners/lan/Rxz-Rexxx" TargetMode="External"/><Relationship Id="rId283" Type="http://schemas.openxmlformats.org/officeDocument/2006/relationships/hyperlink" Target="https://www.leagueofgraphs.com/es/summoner/las/Choqlov-LAS" TargetMode="External"/><Relationship Id="rId169" Type="http://schemas.openxmlformats.org/officeDocument/2006/relationships/hyperlink" Target="https://op.gg/lol/summoners/las/STAR%20RAQUEL-6969" TargetMode="External"/><Relationship Id="rId168" Type="http://schemas.openxmlformats.org/officeDocument/2006/relationships/hyperlink" Target="https://op.gg/es/lol/summoners/las/PyPyroxBoy-TERZA" TargetMode="External"/><Relationship Id="rId289" Type="http://schemas.openxmlformats.org/officeDocument/2006/relationships/hyperlink" Target="https://www.leagueofgraphs.com/es/summoner/las/ZeusKaled+-Las" TargetMode="External"/><Relationship Id="rId167" Type="http://schemas.openxmlformats.org/officeDocument/2006/relationships/hyperlink" Target="https://op.gg/lol/summoners/las/STAR%20Nathalie-ST4R" TargetMode="External"/><Relationship Id="rId288" Type="http://schemas.openxmlformats.org/officeDocument/2006/relationships/hyperlink" Target="https://op.gg/es/lol/summoners/las/A%20LA%20VERCA%20TILIN-MRDYU" TargetMode="External"/><Relationship Id="rId166" Type="http://schemas.openxmlformats.org/officeDocument/2006/relationships/hyperlink" Target="https://op.gg/es/lol/summoners/las/darkdragon3009-3009" TargetMode="External"/><Relationship Id="rId287" Type="http://schemas.openxmlformats.org/officeDocument/2006/relationships/hyperlink" Target="https://op.gg/es/lol/summoners/las/Tio%20Trollcel-LAS" TargetMode="External"/><Relationship Id="rId161" Type="http://schemas.openxmlformats.org/officeDocument/2006/relationships/hyperlink" Target="https://op.gg/lol/summoners/las/Bluee%20Rexx-rexxx" TargetMode="External"/><Relationship Id="rId282" Type="http://schemas.openxmlformats.org/officeDocument/2006/relationships/hyperlink" Target="https://op.gg/es/lol/summoners/las/MaximuS%20SlayeR-LAS" TargetMode="External"/><Relationship Id="rId160" Type="http://schemas.openxmlformats.org/officeDocument/2006/relationships/hyperlink" Target="https://op.gg/es/lol/summoners/las/el2achchiru-12345" TargetMode="External"/><Relationship Id="rId281" Type="http://schemas.openxmlformats.org/officeDocument/2006/relationships/hyperlink" Target="https://www.leagueofgraphs.com/es/summoner/las/OreoConLlajua-LAS" TargetMode="External"/><Relationship Id="rId280" Type="http://schemas.openxmlformats.org/officeDocument/2006/relationships/hyperlink" Target="https://op.gg/es/lol/summoners/las/EDDYKANNON-LAS" TargetMode="External"/><Relationship Id="rId159" Type="http://schemas.openxmlformats.org/officeDocument/2006/relationships/hyperlink" Target="https://op.gg/lol/summoners/las/MisaRynn-666" TargetMode="External"/><Relationship Id="rId154" Type="http://schemas.openxmlformats.org/officeDocument/2006/relationships/hyperlink" Target="https://op.gg/es/lol/summoners/las/AbreLASpiernass-LAS" TargetMode="External"/><Relationship Id="rId275" Type="http://schemas.openxmlformats.org/officeDocument/2006/relationships/hyperlink" Target="https://op.gg/es/lol/summoners/las/lboy8v-LAS" TargetMode="External"/><Relationship Id="rId153" Type="http://schemas.openxmlformats.org/officeDocument/2006/relationships/hyperlink" Target="https://op.gg/lol/summoners/las/GinEkkologo-VPH" TargetMode="External"/><Relationship Id="rId274" Type="http://schemas.openxmlformats.org/officeDocument/2006/relationships/hyperlink" Target="https://op.gg/lol/summoners/las/NEROKNIGHT-9917" TargetMode="External"/><Relationship Id="rId152" Type="http://schemas.openxmlformats.org/officeDocument/2006/relationships/hyperlink" Target="https://op.gg/es/lol/summoners/las/Let%20Mi%20Goo-LAS" TargetMode="External"/><Relationship Id="rId273" Type="http://schemas.openxmlformats.org/officeDocument/2006/relationships/hyperlink" Target="https://op.gg/es/lol/summoners/las/anjhelo7727-LAS" TargetMode="External"/><Relationship Id="rId394" Type="http://schemas.openxmlformats.org/officeDocument/2006/relationships/vmlDrawing" Target="../drawings/vmlDrawing2.vml"/><Relationship Id="rId151" Type="http://schemas.openxmlformats.org/officeDocument/2006/relationships/hyperlink" Target="https://op.gg/lol/summoners/las/A15%20los%20Gancitos-xxx" TargetMode="External"/><Relationship Id="rId272" Type="http://schemas.openxmlformats.org/officeDocument/2006/relationships/hyperlink" Target="https://op.gg/es/lol/summoners/las/A1zz-tkcha" TargetMode="External"/><Relationship Id="rId393" Type="http://schemas.openxmlformats.org/officeDocument/2006/relationships/drawing" Target="../drawings/drawing2.xml"/><Relationship Id="rId158" Type="http://schemas.openxmlformats.org/officeDocument/2006/relationships/hyperlink" Target="https://op.gg/es/lol/summoners/las/TRkiller153-LAS" TargetMode="External"/><Relationship Id="rId279" Type="http://schemas.openxmlformats.org/officeDocument/2006/relationships/hyperlink" Target="https://www.leagueofgraphs.com/es/summoner/las/Chinotocola+-Las" TargetMode="External"/><Relationship Id="rId157" Type="http://schemas.openxmlformats.org/officeDocument/2006/relationships/hyperlink" Target="https://op.gg/lol/summoners/las/Black%20Sabbath-la2" TargetMode="External"/><Relationship Id="rId278" Type="http://schemas.openxmlformats.org/officeDocument/2006/relationships/hyperlink" Target="https://op.gg/lol/summoners/lan/Chulux-712" TargetMode="External"/><Relationship Id="rId156" Type="http://schemas.openxmlformats.org/officeDocument/2006/relationships/hyperlink" Target="https://op.gg/es/lol/summoners/las/zahevos-LAS" TargetMode="External"/><Relationship Id="rId277" Type="http://schemas.openxmlformats.org/officeDocument/2006/relationships/hyperlink" Target="https://op.gg/lol/summoners/las/chup%20chup-LAS" TargetMode="External"/><Relationship Id="rId155" Type="http://schemas.openxmlformats.org/officeDocument/2006/relationships/hyperlink" Target="https://op.gg/lol/summoners/las/%CE%98%CE%95%CE%9F%CE%A3%20%CE%9F%CE%9B%CE%A9%CE%9D-AAJB" TargetMode="External"/><Relationship Id="rId276" Type="http://schemas.openxmlformats.org/officeDocument/2006/relationships/hyperlink" Target="https://op.gg/es/lol/summoners/lan/VTX-LUCI" TargetMode="External"/><Relationship Id="rId40" Type="http://schemas.openxmlformats.org/officeDocument/2006/relationships/hyperlink" Target="https://op.gg/es/lol/summoners/las/Coiia-pblo" TargetMode="External"/><Relationship Id="rId42" Type="http://schemas.openxmlformats.org/officeDocument/2006/relationships/hyperlink" Target="https://op.gg/es/lol/summoners/lan/CHORYPAN-LAN" TargetMode="External"/><Relationship Id="rId41" Type="http://schemas.openxmlformats.org/officeDocument/2006/relationships/hyperlink" Target="https://op.gg/lol/summoners/las/ChoryPanLAS-2651" TargetMode="External"/><Relationship Id="rId44" Type="http://schemas.openxmlformats.org/officeDocument/2006/relationships/hyperlink" Target="https://op.gg/es/lol/summoners/las/valda02-LAS" TargetMode="External"/><Relationship Id="rId43" Type="http://schemas.openxmlformats.org/officeDocument/2006/relationships/hyperlink" Target="https://op.gg/es/lol/summoners/las/Gathhal-LAS" TargetMode="External"/><Relationship Id="rId46" Type="http://schemas.openxmlformats.org/officeDocument/2006/relationships/hyperlink" Target="https://op.gg/es/lol/summoners/las/VP%20ISTr1kErl-LAS" TargetMode="External"/><Relationship Id="rId45" Type="http://schemas.openxmlformats.org/officeDocument/2006/relationships/hyperlink" Target="https://op.gg/es/lol/summoners/lan/Rompe%20bragas-LAN/" TargetMode="External"/><Relationship Id="rId48" Type="http://schemas.openxmlformats.org/officeDocument/2006/relationships/hyperlink" Target="https://op.gg/es/lol/summoners/las/PrfEinsteinLAS-6862" TargetMode="External"/><Relationship Id="rId47" Type="http://schemas.openxmlformats.org/officeDocument/2006/relationships/hyperlink" Target="https://op.gg/es/lol/summoners/las/The%20Wial%C3%98rd-LAS" TargetMode="External"/><Relationship Id="rId49" Type="http://schemas.openxmlformats.org/officeDocument/2006/relationships/hyperlink" Target="https://op.gg/lol/summoners/las/YIORI-LAS" TargetMode="External"/><Relationship Id="rId31" Type="http://schemas.openxmlformats.org/officeDocument/2006/relationships/hyperlink" Target="https://op.gg/es/lol/summoners/las/mohomvi-LAS" TargetMode="External"/><Relationship Id="rId30" Type="http://schemas.openxmlformats.org/officeDocument/2006/relationships/hyperlink" Target="https://op.gg/es/lol/summoners/lan/driip-LAN" TargetMode="External"/><Relationship Id="rId33" Type="http://schemas.openxmlformats.org/officeDocument/2006/relationships/hyperlink" Target="https://op.gg/es/lol/summoners/lan/Yerizao-LAN" TargetMode="External"/><Relationship Id="rId32" Type="http://schemas.openxmlformats.org/officeDocument/2006/relationships/hyperlink" Target="https://op.gg/es/lol/summoners/las/Radamantyys-LAS" TargetMode="External"/><Relationship Id="rId35" Type="http://schemas.openxmlformats.org/officeDocument/2006/relationships/hyperlink" Target="https://op.gg/es/lol/summoners/las/Sammy369-GOD" TargetMode="External"/><Relationship Id="rId34" Type="http://schemas.openxmlformats.org/officeDocument/2006/relationships/hyperlink" Target="https://op.gg/es/lol/summoners/las/T1%20The%20Shy-DWG" TargetMode="External"/><Relationship Id="rId37" Type="http://schemas.openxmlformats.org/officeDocument/2006/relationships/hyperlink" Target="https://op.gg/es/lol/summoners/las/Levius%20Cromwell-K1NG" TargetMode="External"/><Relationship Id="rId36" Type="http://schemas.openxmlformats.org/officeDocument/2006/relationships/hyperlink" Target="https://op.gg/es/lol/summoners/lan/Sammy%20Jam-GOD" TargetMode="External"/><Relationship Id="rId39" Type="http://schemas.openxmlformats.org/officeDocument/2006/relationships/hyperlink" Target="https://op.gg/es/lol/summoners/lan/FerickPM-GOD" TargetMode="External"/><Relationship Id="rId38" Type="http://schemas.openxmlformats.org/officeDocument/2006/relationships/hyperlink" Target="https://op.gg/es/lol/summoners/las/skammer-2448" TargetMode="External"/><Relationship Id="rId20" Type="http://schemas.openxmlformats.org/officeDocument/2006/relationships/hyperlink" Target="https://l.facebook.com/l.php?u=https%3A%2F%2Fop.gg%2Flol%2Fsummoners%2Flas%2FMet%25C3%25A0lic-LAS&amp;h=AT0rKIsHcxbiOJQHU7SBTUdbDQWeJMzUD19mIaFhczOAj_GZhog0-d3_whnRr_qAhD72uruNXJOPnbbQXbQRfkdwVVu2UYihit3WLncJM08BicbSkR-LuPMuHIdX6sw&amp;s=1" TargetMode="External"/><Relationship Id="rId22" Type="http://schemas.openxmlformats.org/officeDocument/2006/relationships/hyperlink" Target="https://op.gg/es/lol/summoners/las/%C4%B1Il%C5%82%20%C3%9Fr%C3%BF%C4%85n%20%C5%82lI%C4%B1-LAS" TargetMode="External"/><Relationship Id="rId21" Type="http://schemas.openxmlformats.org/officeDocument/2006/relationships/hyperlink" Target="https://op.gg/lol/summoners/las/Gats%C3%9Fy-PRO" TargetMode="External"/><Relationship Id="rId24" Type="http://schemas.openxmlformats.org/officeDocument/2006/relationships/hyperlink" Target="https://op.gg/es/lol/summoners/las/fly%20john-LAS" TargetMode="External"/><Relationship Id="rId23" Type="http://schemas.openxmlformats.org/officeDocument/2006/relationships/hyperlink" Target="https://op.gg/es/lol/summoners/lan/CANIBAL%20DRAGON-BLACK" TargetMode="External"/><Relationship Id="rId26" Type="http://schemas.openxmlformats.org/officeDocument/2006/relationships/hyperlink" Target="https://op.gg/lol/summoners/lan/FEiN-3AM" TargetMode="External"/><Relationship Id="rId25" Type="http://schemas.openxmlformats.org/officeDocument/2006/relationships/hyperlink" Target="https://op.gg/es/lol/summoners/las/percibal9-5293" TargetMode="External"/><Relationship Id="rId28" Type="http://schemas.openxmlformats.org/officeDocument/2006/relationships/hyperlink" Target="https://op.gg/lol/summoners/lan/NewLife-LAN" TargetMode="External"/><Relationship Id="rId27" Type="http://schemas.openxmlformats.org/officeDocument/2006/relationships/hyperlink" Target="https://op.gg/es/lol/summoners/las/TheRealSparky09-LAS" TargetMode="External"/><Relationship Id="rId29" Type="http://schemas.openxmlformats.org/officeDocument/2006/relationships/hyperlink" Target="https://op.gg/lol/summoners/las/DriipLas-6217" TargetMode="External"/><Relationship Id="rId11" Type="http://schemas.openxmlformats.org/officeDocument/2006/relationships/hyperlink" Target="https://op.gg/es/lol/summoners/las/SLK%20Gero-4044" TargetMode="External"/><Relationship Id="rId10" Type="http://schemas.openxmlformats.org/officeDocument/2006/relationships/hyperlink" Target="https://op.gg/es/lol/summoners/las/Zero%20Twwo-1324" TargetMode="External"/><Relationship Id="rId13" Type="http://schemas.openxmlformats.org/officeDocument/2006/relationships/hyperlink" Target="https://op.gg/es/lol/summoners/las/SLK%20Ca7riel-6752" TargetMode="External"/><Relationship Id="rId12" Type="http://schemas.openxmlformats.org/officeDocument/2006/relationships/hyperlink" Target="https://op.gg/es/lol/summoners/las/Akali%20InTheFranx-Mai" TargetMode="External"/><Relationship Id="rId15" Type="http://schemas.openxmlformats.org/officeDocument/2006/relationships/hyperlink" Target="https://op.gg/es/lol/summoners/las/SLK%20Six9ine-2179" TargetMode="External"/><Relationship Id="rId14" Type="http://schemas.openxmlformats.org/officeDocument/2006/relationships/hyperlink" Target="https://www.leagueofgraphs.com/summoner/las/Overtaken+%E6%B5%A3-2001y" TargetMode="External"/><Relationship Id="rId17" Type="http://schemas.openxmlformats.org/officeDocument/2006/relationships/hyperlink" Target="https://op.gg/es/lol/summoners/las/NOXUZ-ekisd" TargetMode="External"/><Relationship Id="rId16" Type="http://schemas.openxmlformats.org/officeDocument/2006/relationships/hyperlink" Target="https://op.gg/es/lol/summoners/las/SLK%20%E9%98%BF%E5%85%8B%E5%A1%9E%E7%88%BE-FABI" TargetMode="External"/><Relationship Id="rId19" Type="http://schemas.openxmlformats.org/officeDocument/2006/relationships/hyperlink" Target="https://op.gg/es/lol/summoners/las/Heliaser-LAS" TargetMode="External"/><Relationship Id="rId18" Type="http://schemas.openxmlformats.org/officeDocument/2006/relationships/hyperlink" Target="https://op.gg/lol/summoners/las/Kalinka-GINBY" TargetMode="External"/><Relationship Id="rId84" Type="http://schemas.openxmlformats.org/officeDocument/2006/relationships/hyperlink" Target="https://op.gg/es/lol/summoners/las/G2%20NainPolonia-LAS" TargetMode="External"/><Relationship Id="rId83" Type="http://schemas.openxmlformats.org/officeDocument/2006/relationships/hyperlink" Target="https://op.gg/lol/summoners/las/Rai0Z-LAS" TargetMode="External"/><Relationship Id="rId86" Type="http://schemas.openxmlformats.org/officeDocument/2006/relationships/hyperlink" Target="https://op.gg/es/lol/summoners/las/Not%20a%20Scripter-G2LAS" TargetMode="External"/><Relationship Id="rId85" Type="http://schemas.openxmlformats.org/officeDocument/2006/relationships/hyperlink" Target="https://op.gg/lol/summoners/las/emma%20watsoNN-LAS" TargetMode="External"/><Relationship Id="rId88" Type="http://schemas.openxmlformats.org/officeDocument/2006/relationships/hyperlink" Target="https://op.gg/lol/summoners/las/Inmortalicus-LAS" TargetMode="External"/><Relationship Id="rId87" Type="http://schemas.openxmlformats.org/officeDocument/2006/relationships/hyperlink" Target="https://op.gg/es/lol/summoners/las/Andy-Pichi" TargetMode="External"/><Relationship Id="rId89" Type="http://schemas.openxmlformats.org/officeDocument/2006/relationships/hyperlink" Target="https://op.gg/es/lol/summoners/las/Luigi-Pichi" TargetMode="External"/><Relationship Id="rId80" Type="http://schemas.openxmlformats.org/officeDocument/2006/relationships/hyperlink" Target="https://op.gg/lol/summoners/las/Dashadona-LAS" TargetMode="External"/><Relationship Id="rId82" Type="http://schemas.openxmlformats.org/officeDocument/2006/relationships/hyperlink" Target="https://op.gg/es/lol/summoners/lan/The%20Lucky%20One-2401" TargetMode="External"/><Relationship Id="rId81" Type="http://schemas.openxmlformats.org/officeDocument/2006/relationships/hyperlink" Target="https://op.gg/es/lol/summoners/las/EvoElNarc0-LAS" TargetMode="External"/><Relationship Id="rId73" Type="http://schemas.openxmlformats.org/officeDocument/2006/relationships/hyperlink" Target="https://op.gg/es/lol/summoners/na/LifesSweetDrugs-NA1" TargetMode="External"/><Relationship Id="rId72" Type="http://schemas.openxmlformats.org/officeDocument/2006/relationships/hyperlink" Target="https://op.gg/es/lol/summoners/las/DogPilfrut-LAS" TargetMode="External"/><Relationship Id="rId75" Type="http://schemas.openxmlformats.org/officeDocument/2006/relationships/hyperlink" Target="https://op.gg/es/lol/summoners/las/Afroa-LAS" TargetMode="External"/><Relationship Id="rId74" Type="http://schemas.openxmlformats.org/officeDocument/2006/relationships/hyperlink" Target="https://op.gg/es/lol/summoners/las/ohh%20my%20GoOoOoOoD-LAS" TargetMode="External"/><Relationship Id="rId77" Type="http://schemas.openxmlformats.org/officeDocument/2006/relationships/hyperlink" Target="https://op.gg/lol/summoners/las/Asagui-LAS" TargetMode="External"/><Relationship Id="rId76" Type="http://schemas.openxmlformats.org/officeDocument/2006/relationships/hyperlink" Target="https://op.gg/lol/summoners/las/watsonw-LAS" TargetMode="External"/><Relationship Id="rId79" Type="http://schemas.openxmlformats.org/officeDocument/2006/relationships/hyperlink" Target="https://op.gg/es/lol/summoners/las/TWD%20Clementine-LASS" TargetMode="External"/><Relationship Id="rId78" Type="http://schemas.openxmlformats.org/officeDocument/2006/relationships/hyperlink" Target="https://op.gg/lol/summoners/las/Yamamex-LAS" TargetMode="External"/><Relationship Id="rId71" Type="http://schemas.openxmlformats.org/officeDocument/2006/relationships/hyperlink" Target="https://op.gg/es/lol/summoners/lan/Yuli-TPA" TargetMode="External"/><Relationship Id="rId70" Type="http://schemas.openxmlformats.org/officeDocument/2006/relationships/hyperlink" Target="https://www.leagueofgraphs.com/summoner/las/ElMosho7u7r-LAS" TargetMode="External"/><Relationship Id="rId62" Type="http://schemas.openxmlformats.org/officeDocument/2006/relationships/hyperlink" Target="https://op.gg/es/lol/summoners/las/Nomad%20AP-PCA" TargetMode="External"/><Relationship Id="rId61" Type="http://schemas.openxmlformats.org/officeDocument/2006/relationships/hyperlink" Target="https://op.gg/lol/summoners/las/sebasx100pre-LAS" TargetMode="External"/><Relationship Id="rId64" Type="http://schemas.openxmlformats.org/officeDocument/2006/relationships/hyperlink" Target="https://op.gg/es/lol/summoners/las/Toko%20Loco%20xd-LAS" TargetMode="External"/><Relationship Id="rId63" Type="http://schemas.openxmlformats.org/officeDocument/2006/relationships/hyperlink" Target="https://op.gg/lol/summoners/las/Akalex-LAS" TargetMode="External"/><Relationship Id="rId66" Type="http://schemas.openxmlformats.org/officeDocument/2006/relationships/hyperlink" Target="https://op.gg/es/lol/summoners/las/el%20davo-4486" TargetMode="External"/><Relationship Id="rId65" Type="http://schemas.openxmlformats.org/officeDocument/2006/relationships/hyperlink" Target="https://op.gg/lol/summoners/las/kazuma-72283" TargetMode="External"/><Relationship Id="rId68" Type="http://schemas.openxmlformats.org/officeDocument/2006/relationships/hyperlink" Target="https://op.gg/lol/summoners/las/Pachonk-LAS" TargetMode="External"/><Relationship Id="rId67" Type="http://schemas.openxmlformats.org/officeDocument/2006/relationships/hyperlink" Target="https://op.gg/lol/summoners/las/Ez3tres-FTH" TargetMode="External"/><Relationship Id="rId60" Type="http://schemas.openxmlformats.org/officeDocument/2006/relationships/hyperlink" Target="https://op.gg/es/lol/summoners/las/Alexwuuu1-0812" TargetMode="External"/><Relationship Id="rId69" Type="http://schemas.openxmlformats.org/officeDocument/2006/relationships/hyperlink" Target="https://op.gg/es/lol/summoners/las/Proometeousx-LAS" TargetMode="External"/><Relationship Id="rId51" Type="http://schemas.openxmlformats.org/officeDocument/2006/relationships/hyperlink" Target="https://tracker.gg/lol/profile/riot/itzDarko%23BOSS/overview?queue=RANKED_SOLO_5x5&amp;season=2025-08-27T04:00:00%2B00:00" TargetMode="External"/><Relationship Id="rId50" Type="http://schemas.openxmlformats.org/officeDocument/2006/relationships/hyperlink" Target="https://op.gg/es/lol/summoners/las/xxmainjaxxx-LAS" TargetMode="External"/><Relationship Id="rId53" Type="http://schemas.openxmlformats.org/officeDocument/2006/relationships/hyperlink" Target="https://op.gg/es/lol/summoners/las/Im%20Kringts-LAS" TargetMode="External"/><Relationship Id="rId52" Type="http://schemas.openxmlformats.org/officeDocument/2006/relationships/hyperlink" Target="https://op.gg/es/lol/summoners/las/dhamthan-LAS" TargetMode="External"/><Relationship Id="rId55" Type="http://schemas.openxmlformats.org/officeDocument/2006/relationships/hyperlink" Target="https://op.gg/es/lol/summoners/las/Almoproo-5075" TargetMode="External"/><Relationship Id="rId54" Type="http://schemas.openxmlformats.org/officeDocument/2006/relationships/hyperlink" Target="https://op.gg/es/lol/summoners/las/cecihh-LAS" TargetMode="External"/><Relationship Id="rId57" Type="http://schemas.openxmlformats.org/officeDocument/2006/relationships/hyperlink" Target="https://op.gg/es/lol/summoners/las/T1%20RAHI-LAS" TargetMode="External"/><Relationship Id="rId56" Type="http://schemas.openxmlformats.org/officeDocument/2006/relationships/hyperlink" Target="https://op.gg/es/lol/summoners/las/TQ%20Mia%20KhalifA1-wiz" TargetMode="External"/><Relationship Id="rId59" Type="http://schemas.openxmlformats.org/officeDocument/2006/relationships/hyperlink" Target="https://op.gg/lol/summoners/las/Zoeunpanthalon-UwU" TargetMode="External"/><Relationship Id="rId58" Type="http://schemas.openxmlformats.org/officeDocument/2006/relationships/hyperlink" Target="https://op.gg/es/lol/summoners/las/Hellgorgon-LAS" TargetMode="External"/><Relationship Id="rId107" Type="http://schemas.openxmlformats.org/officeDocument/2006/relationships/hyperlink" Target="https://op.gg/lol/summoners/las/duglaspro-6969" TargetMode="External"/><Relationship Id="rId228" Type="http://schemas.openxmlformats.org/officeDocument/2006/relationships/hyperlink" Target="https://op.gg/es/lol/summoners/las/pentakill%20ADC-LAS" TargetMode="External"/><Relationship Id="rId349" Type="http://schemas.openxmlformats.org/officeDocument/2006/relationships/hyperlink" Target="https://op.gg/lol/summoners/lan/Monstercalamiti-LAN" TargetMode="External"/><Relationship Id="rId106" Type="http://schemas.openxmlformats.org/officeDocument/2006/relationships/hyperlink" Target="https://op.gg/es/lol/summoners/las/KiNgCriTTeR1258-PERU" TargetMode="External"/><Relationship Id="rId227" Type="http://schemas.openxmlformats.org/officeDocument/2006/relationships/hyperlink" Target="https://op.gg/lol/summoners/las/DCG%20Khuzy-JPG" TargetMode="External"/><Relationship Id="rId348" Type="http://schemas.openxmlformats.org/officeDocument/2006/relationships/hyperlink" Target="https://op.gg/es/lol/summoners/las/Miko-JMxTK" TargetMode="External"/><Relationship Id="rId105" Type="http://schemas.openxmlformats.org/officeDocument/2006/relationships/hyperlink" Target="https://op.gg/es/lol/summoners/las/SKP%20HidalguitoJJ-1010" TargetMode="External"/><Relationship Id="rId226" Type="http://schemas.openxmlformats.org/officeDocument/2006/relationships/hyperlink" Target="https://op.gg/es/lol/summoners/las/%20%20Cristin07-LAS" TargetMode="External"/><Relationship Id="rId347" Type="http://schemas.openxmlformats.org/officeDocument/2006/relationships/hyperlink" Target="https://op.gg/pt/lol/summoners/las/NadAndOxD-LAS" TargetMode="External"/><Relationship Id="rId104" Type="http://schemas.openxmlformats.org/officeDocument/2006/relationships/hyperlink" Target="https://op.gg/es/lol/summoners/search?q=mercenaryo%23LAS&amp;region=las" TargetMode="External"/><Relationship Id="rId225" Type="http://schemas.openxmlformats.org/officeDocument/2006/relationships/hyperlink" Target="https://op.gg/lol/summoners/las/DCG%20DradocK-ING" TargetMode="External"/><Relationship Id="rId346" Type="http://schemas.openxmlformats.org/officeDocument/2006/relationships/hyperlink" Target="https://op.gg/es/lol/summoners/lan/Sendo7-LAN" TargetMode="External"/><Relationship Id="rId109" Type="http://schemas.openxmlformats.org/officeDocument/2006/relationships/hyperlink" Target="https://op.gg/es/lol/summoners/las/SKP%20Javier-LAS" TargetMode="External"/><Relationship Id="rId108" Type="http://schemas.openxmlformats.org/officeDocument/2006/relationships/hyperlink" Target="https://op.gg/es/lol/summoners/las/kioshy99-LAS" TargetMode="External"/><Relationship Id="rId229" Type="http://schemas.openxmlformats.org/officeDocument/2006/relationships/hyperlink" Target="https://op.gg/lol/summoners/las/DCG%20Bocho-ING" TargetMode="External"/><Relationship Id="rId220" Type="http://schemas.openxmlformats.org/officeDocument/2006/relationships/hyperlink" Target="https://tracker.gg/lol/profile/riot/BLASSKEYLOR1%23LAS/" TargetMode="External"/><Relationship Id="rId341" Type="http://schemas.openxmlformats.org/officeDocument/2006/relationships/hyperlink" Target="https://op.gg/es/lol/summoners/las/RTX%204090-4000" TargetMode="External"/><Relationship Id="rId340" Type="http://schemas.openxmlformats.org/officeDocument/2006/relationships/hyperlink" Target="https://op.gg/es/lol/summoners/las/fly%20john-LAS" TargetMode="External"/><Relationship Id="rId103" Type="http://schemas.openxmlformats.org/officeDocument/2006/relationships/hyperlink" Target="https://op.gg/lol/summoners/las/SKP%20Ckymito-LAS" TargetMode="External"/><Relationship Id="rId224" Type="http://schemas.openxmlformats.org/officeDocument/2006/relationships/hyperlink" Target="https://op.gg/es/lol/summoners/las/Satanya-LAS" TargetMode="External"/><Relationship Id="rId345" Type="http://schemas.openxmlformats.org/officeDocument/2006/relationships/hyperlink" Target="https://op.gg/es/lol/summoners/las/CiclistaSinLicen-LAS" TargetMode="External"/><Relationship Id="rId102" Type="http://schemas.openxmlformats.org/officeDocument/2006/relationships/hyperlink" Target="https://op.gg/es/lol/summoners/las/EST%20Pain-PA1N" TargetMode="External"/><Relationship Id="rId223" Type="http://schemas.openxmlformats.org/officeDocument/2006/relationships/hyperlink" Target="https://op.gg/es/lol/summoners/las/Zedso-BOL" TargetMode="External"/><Relationship Id="rId344" Type="http://schemas.openxmlformats.org/officeDocument/2006/relationships/hyperlink" Target="https://op.gg/es/lol/summoners/lan/dirtyporky-porky" TargetMode="External"/><Relationship Id="rId101" Type="http://schemas.openxmlformats.org/officeDocument/2006/relationships/hyperlink" Target="https://op.gg/es/lol/summoners/las/SKP%20Hidalguito-LAS" TargetMode="External"/><Relationship Id="rId222" Type="http://schemas.openxmlformats.org/officeDocument/2006/relationships/hyperlink" Target="https://tracker.gg/lol/profile/riot/Neji54%23LAS/overview?queue=NORMAL_5V5_SWIFTPLAY&amp;season=2025-08-27T04:00:00%2B00:00" TargetMode="External"/><Relationship Id="rId343" Type="http://schemas.openxmlformats.org/officeDocument/2006/relationships/hyperlink" Target="https://op.gg/es/lol/summoners/las/DR%20DirtyPorky-LAS" TargetMode="External"/><Relationship Id="rId100" Type="http://schemas.openxmlformats.org/officeDocument/2006/relationships/hyperlink" Target="https://op.gg/es/lol/summoners/las/GGEZ%20KNA1245-9359" TargetMode="External"/><Relationship Id="rId221" Type="http://schemas.openxmlformats.org/officeDocument/2006/relationships/hyperlink" Target="https://op.gg/lol/summoners/las/Yummi%20sin%20ropa-AFK" TargetMode="External"/><Relationship Id="rId342" Type="http://schemas.openxmlformats.org/officeDocument/2006/relationships/hyperlink" Target="https://op.gg/es/lol/summoners/las/RTX%204090-4000" TargetMode="External"/><Relationship Id="rId217" Type="http://schemas.openxmlformats.org/officeDocument/2006/relationships/hyperlink" Target="https://op.gg/pt/lol/summoners/las/Nangui123-LAS" TargetMode="External"/><Relationship Id="rId338" Type="http://schemas.openxmlformats.org/officeDocument/2006/relationships/hyperlink" Target="https://op.gg/es/lol/summoners/las/brayayin-LAS" TargetMode="External"/><Relationship Id="rId216" Type="http://schemas.openxmlformats.org/officeDocument/2006/relationships/hyperlink" Target="https://op.gg/es/lol/summoners/las/TheDarkBeautiful-LAS" TargetMode="External"/><Relationship Id="rId337" Type="http://schemas.openxmlformats.org/officeDocument/2006/relationships/hyperlink" Target="https://op.gg/es/lol/summoners/las/Sarabi7-sr7" TargetMode="External"/><Relationship Id="rId215" Type="http://schemas.openxmlformats.org/officeDocument/2006/relationships/hyperlink" Target="https://op.gg/lol/summoners/las/lance2001-LAS" TargetMode="External"/><Relationship Id="rId336" Type="http://schemas.openxmlformats.org/officeDocument/2006/relationships/hyperlink" Target="https://discord.gg/8tNXEgMb" TargetMode="External"/><Relationship Id="rId214" Type="http://schemas.openxmlformats.org/officeDocument/2006/relationships/hyperlink" Target="https://op.gg/es/lol/summoners/las/JellyMel2-3318" TargetMode="External"/><Relationship Id="rId335" Type="http://schemas.openxmlformats.org/officeDocument/2006/relationships/hyperlink" Target="https://op.gg/es/lol/summoners/lan/gerki456-LAN" TargetMode="External"/><Relationship Id="rId219" Type="http://schemas.openxmlformats.org/officeDocument/2006/relationships/hyperlink" Target="https://op.gg/pt/lol/summoners/las/mixel2-LAS" TargetMode="External"/><Relationship Id="rId218" Type="http://schemas.openxmlformats.org/officeDocument/2006/relationships/hyperlink" Target="https://op.gg/es/lol/summoners/las/iSentSovi-LAS" TargetMode="External"/><Relationship Id="rId339" Type="http://schemas.openxmlformats.org/officeDocument/2006/relationships/hyperlink" Target="https://op.gg/es/lol/summoners/lan/%20You%20Yellow-LAN" TargetMode="External"/><Relationship Id="rId330" Type="http://schemas.openxmlformats.org/officeDocument/2006/relationships/hyperlink" Target="https://op.gg/es/lol/summoners/las/DR%20DirtyPorky-LAS" TargetMode="External"/><Relationship Id="rId450" Type="http://schemas.openxmlformats.org/officeDocument/2006/relationships/table" Target="../tables/table31.xml"/><Relationship Id="rId213" Type="http://schemas.openxmlformats.org/officeDocument/2006/relationships/hyperlink" Target="https://op.gg/lol/summoners/las/Noexe-6562" TargetMode="External"/><Relationship Id="rId334" Type="http://schemas.openxmlformats.org/officeDocument/2006/relationships/hyperlink" Target="https://op.gg/es/lol/summoners/las/Namish-3000" TargetMode="External"/><Relationship Id="rId212" Type="http://schemas.openxmlformats.org/officeDocument/2006/relationships/hyperlink" Target="https://op.gg/pt/lol/summoners/las/AndruZT-LAS" TargetMode="External"/><Relationship Id="rId333" Type="http://schemas.openxmlformats.org/officeDocument/2006/relationships/hyperlink" Target="https://op.gg/es/lol/summoners/las/Apolocrhis-LOCO" TargetMode="External"/><Relationship Id="rId211" Type="http://schemas.openxmlformats.org/officeDocument/2006/relationships/hyperlink" Target="https://op.gg/es/lol/summoners/las/%C3%81dj-591" TargetMode="External"/><Relationship Id="rId332" Type="http://schemas.openxmlformats.org/officeDocument/2006/relationships/hyperlink" Target="https://op.gg/es/lol/summoners/las/Fluffy-JKR" TargetMode="External"/><Relationship Id="rId210" Type="http://schemas.openxmlformats.org/officeDocument/2006/relationships/hyperlink" Target="https://op.gg/pt/lol/summoners/las/Hyuned-LAS" TargetMode="External"/><Relationship Id="rId331" Type="http://schemas.openxmlformats.org/officeDocument/2006/relationships/hyperlink" Target="https://op.gg/lol/summoners/lan/CSZkiller-LAN" TargetMode="External"/><Relationship Id="rId370" Type="http://schemas.openxmlformats.org/officeDocument/2006/relationships/hyperlink" Target="https://op.gg/es/lol/summoners/las/Kiuga-LAS" TargetMode="External"/><Relationship Id="rId129" Type="http://schemas.openxmlformats.org/officeDocument/2006/relationships/hyperlink" Target="https://op.gg/es/lol/summoners/las/mi%20huk-LAS" TargetMode="External"/><Relationship Id="rId128" Type="http://schemas.openxmlformats.org/officeDocument/2006/relationships/hyperlink" Target="https://op.gg/lol/summoners/las/Momazos%20INSANO-tilin" TargetMode="External"/><Relationship Id="rId249" Type="http://schemas.openxmlformats.org/officeDocument/2006/relationships/hyperlink" Target="https://op.gg/es/lol/summoners/las/gevisi%20itm-LAAAS" TargetMode="External"/><Relationship Id="rId127" Type="http://schemas.openxmlformats.org/officeDocument/2006/relationships/hyperlink" Target="https://op.gg/es/lol/summoners/las/Nypa-Nypa" TargetMode="External"/><Relationship Id="rId248" Type="http://schemas.openxmlformats.org/officeDocument/2006/relationships/hyperlink" Target="https://op.gg/lol/summoners/las/ECNERWAL-117" TargetMode="External"/><Relationship Id="rId369" Type="http://schemas.openxmlformats.org/officeDocument/2006/relationships/hyperlink" Target="https://op.gg/es/lol/summoners/las/ImTheF%C3%A2st-ADC" TargetMode="External"/><Relationship Id="rId126" Type="http://schemas.openxmlformats.org/officeDocument/2006/relationships/hyperlink" Target="https://op.gg/es/lol/summoners/las/el%20misosaurio%20-LAS" TargetMode="External"/><Relationship Id="rId247" Type="http://schemas.openxmlformats.org/officeDocument/2006/relationships/hyperlink" Target="https://op.gg/lol/summoners/las/wolftirent-Vic" TargetMode="External"/><Relationship Id="rId368" Type="http://schemas.openxmlformats.org/officeDocument/2006/relationships/hyperlink" Target="https://op.gg/lol/summoners/lan/ERL%20Kenay%20Ds3-GOAT" TargetMode="External"/><Relationship Id="rId121" Type="http://schemas.openxmlformats.org/officeDocument/2006/relationships/hyperlink" Target="https://op.gg/es/lol/summoners/las/MdMMT-Matu" TargetMode="External"/><Relationship Id="rId242" Type="http://schemas.openxmlformats.org/officeDocument/2006/relationships/hyperlink" Target="https://op.gg/lol/summoners/las/R2%20Coll-Coll" TargetMode="External"/><Relationship Id="rId363" Type="http://schemas.openxmlformats.org/officeDocument/2006/relationships/hyperlink" Target="https://op.gg/lol/summoners/lan/Renydeodo-LAN" TargetMode="External"/><Relationship Id="rId120" Type="http://schemas.openxmlformats.org/officeDocument/2006/relationships/hyperlink" Target="https://op.gg/lol/summoners/las/ChapsX-LAS" TargetMode="External"/><Relationship Id="rId241" Type="http://schemas.openxmlformats.org/officeDocument/2006/relationships/hyperlink" Target="https://op.gg/lol/summoners/las/Nixlag-lol" TargetMode="External"/><Relationship Id="rId362" Type="http://schemas.openxmlformats.org/officeDocument/2006/relationships/hyperlink" Target="https://op.gg/es/lol/summoners/las/Reny12-Hola" TargetMode="External"/><Relationship Id="rId240" Type="http://schemas.openxmlformats.org/officeDocument/2006/relationships/hyperlink" Target="https://op.gg/lol/summoners/las/R2%20Tarrazona-7777" TargetMode="External"/><Relationship Id="rId361" Type="http://schemas.openxmlformats.org/officeDocument/2006/relationships/hyperlink" Target="https://op.gg/es/lol/summoners/las/EDDYXG-LAS" TargetMode="External"/><Relationship Id="rId360" Type="http://schemas.openxmlformats.org/officeDocument/2006/relationships/hyperlink" Target="https://op.gg/es/lol/summoners/las/Yaniskov-11234" TargetMode="External"/><Relationship Id="rId125" Type="http://schemas.openxmlformats.org/officeDocument/2006/relationships/hyperlink" Target="https://op.gg/es/lol/summoners/las/PR0YECT0%20DWG%20KIA-LAS" TargetMode="External"/><Relationship Id="rId246" Type="http://schemas.openxmlformats.org/officeDocument/2006/relationships/hyperlink" Target="https://op.gg/lol/summoners/las/R2%20IoIoIexo-LLLX" TargetMode="External"/><Relationship Id="rId367" Type="http://schemas.openxmlformats.org/officeDocument/2006/relationships/hyperlink" Target="https://op.gg/es/lol/summoners/las/KenayDs3-Ds3" TargetMode="External"/><Relationship Id="rId124" Type="http://schemas.openxmlformats.org/officeDocument/2006/relationships/hyperlink" Target="https://op.gg/es/lol/summoners/las/MVLAJ-LAS" TargetMode="External"/><Relationship Id="rId245" Type="http://schemas.openxmlformats.org/officeDocument/2006/relationships/hyperlink" Target="https://op.gg/lol/summoners/las/11n011NL-5021" TargetMode="External"/><Relationship Id="rId366" Type="http://schemas.openxmlformats.org/officeDocument/2006/relationships/hyperlink" Target="https://op.gg/es/lol/summoners/las/LeeSinOjos-8535" TargetMode="External"/><Relationship Id="rId123" Type="http://schemas.openxmlformats.org/officeDocument/2006/relationships/hyperlink" Target="https://op.gg/lol/summoners/las/XMvl-LAS" TargetMode="External"/><Relationship Id="rId244" Type="http://schemas.openxmlformats.org/officeDocument/2006/relationships/hyperlink" Target="https://op.gg/lol/summoners/las/G2%20Alers09-LASAN" TargetMode="External"/><Relationship Id="rId365" Type="http://schemas.openxmlformats.org/officeDocument/2006/relationships/hyperlink" Target="https://op.gg/lol/summoners/lan/%D0%BA%E0%B8%84%D0%A3%CE%B7%20%CF%84%CE%BEm%CF%81%CE%BE%C5%9F%C8%9B%C4%B1r%E0%B8%84-Roma" TargetMode="External"/><Relationship Id="rId122" Type="http://schemas.openxmlformats.org/officeDocument/2006/relationships/hyperlink" Target="https://op.gg/es/lol/summoners/las/NoseEkisde-LAS" TargetMode="External"/><Relationship Id="rId243" Type="http://schemas.openxmlformats.org/officeDocument/2006/relationships/hyperlink" Target="https://op.gg/lol/summoners/las/mnkl-swift" TargetMode="External"/><Relationship Id="rId364" Type="http://schemas.openxmlformats.org/officeDocument/2006/relationships/hyperlink" Target="https://op.gg/es/lol/summoners/las/K%C3%A3%C3%BF%C3%B1%20T%C3%AAm%C3%BE%C4%99%C5%A1t%C3%AFr%C4%85-Coach" TargetMode="External"/><Relationship Id="rId95" Type="http://schemas.openxmlformats.org/officeDocument/2006/relationships/hyperlink" Target="https://op.gg/es/lol/summoners/las/lawns-LAS" TargetMode="External"/><Relationship Id="rId94" Type="http://schemas.openxmlformats.org/officeDocument/2006/relationships/hyperlink" Target="https://op.gg/es/lol/summoners/las/%E6%9C%AA%E6%9D%A5%E3%81%AE%E9%9F%B3-1999" TargetMode="External"/><Relationship Id="rId97" Type="http://schemas.openxmlformats.org/officeDocument/2006/relationships/hyperlink" Target="https://op.gg/lol/summoners/las/XXDeathLionXX-LAS" TargetMode="External"/><Relationship Id="rId96" Type="http://schemas.openxmlformats.org/officeDocument/2006/relationships/hyperlink" Target="https://op.gg/lol/summoners/las/The%20Shoot3r-LAS" TargetMode="External"/><Relationship Id="rId99" Type="http://schemas.openxmlformats.org/officeDocument/2006/relationships/hyperlink" Target="https://op.gg/es/lol/summoners/las/%20Jagerfly%20N-LAN" TargetMode="External"/><Relationship Id="rId98" Type="http://schemas.openxmlformats.org/officeDocument/2006/relationships/hyperlink" Target="https://op.gg/lol/summoners/las/kurivo-LAS" TargetMode="External"/><Relationship Id="rId91" Type="http://schemas.openxmlformats.org/officeDocument/2006/relationships/hyperlink" Target="https://op.gg/lol/summoners/las/Deadrake9811-LAS" TargetMode="External"/><Relationship Id="rId90" Type="http://schemas.openxmlformats.org/officeDocument/2006/relationships/hyperlink" Target="https://op.gg/lol/summoners/las/Gezz%20G-LAS" TargetMode="External"/><Relationship Id="rId93" Type="http://schemas.openxmlformats.org/officeDocument/2006/relationships/hyperlink" Target="https://op.gg/lol/summoners/las/Ghost62-LAS" TargetMode="External"/><Relationship Id="rId92" Type="http://schemas.openxmlformats.org/officeDocument/2006/relationships/hyperlink" Target="https://op.gg/lol/summoners/las/elmontador123-LAS" TargetMode="External"/><Relationship Id="rId118" Type="http://schemas.openxmlformats.org/officeDocument/2006/relationships/hyperlink" Target="https://op.gg/lol/summoners/las/euler-PAN" TargetMode="External"/><Relationship Id="rId239" Type="http://schemas.openxmlformats.org/officeDocument/2006/relationships/hyperlink" Target="https://op.gg/lol/summoners/las/leofranguara-1711" TargetMode="External"/><Relationship Id="rId117" Type="http://schemas.openxmlformats.org/officeDocument/2006/relationships/hyperlink" Target="https://op.gg/lol/summoners/las/Luanardazo-LAS" TargetMode="External"/><Relationship Id="rId238" Type="http://schemas.openxmlformats.org/officeDocument/2006/relationships/hyperlink" Target="https://op.gg/es/lol/summoners/las/R2%20RaizenSteel-Road2" TargetMode="External"/><Relationship Id="rId359" Type="http://schemas.openxmlformats.org/officeDocument/2006/relationships/hyperlink" Target="https://op.gg/es/lol/summoners/lan/dirtyporky-porky" TargetMode="External"/><Relationship Id="rId116" Type="http://schemas.openxmlformats.org/officeDocument/2006/relationships/hyperlink" Target="https://op.gg/lol/summoners/las/WillyZz10-LAS" TargetMode="External"/><Relationship Id="rId237" Type="http://schemas.openxmlformats.org/officeDocument/2006/relationships/hyperlink" Target="https://op.gg/lol/summoners/las/DaniWebster-NA1" TargetMode="External"/><Relationship Id="rId358" Type="http://schemas.openxmlformats.org/officeDocument/2006/relationships/hyperlink" Target="https://op.gg/pt/lol/summoners/las/darksoul-cuern" TargetMode="External"/><Relationship Id="rId115" Type="http://schemas.openxmlformats.org/officeDocument/2006/relationships/hyperlink" Target="https://op.gg/es/lol/summoners/las/Loviark-LAS" TargetMode="External"/><Relationship Id="rId236" Type="http://schemas.openxmlformats.org/officeDocument/2006/relationships/hyperlink" Target="https://op.gg/lol/summoners/las/R2%20KiochideuZ-lin" TargetMode="External"/><Relationship Id="rId357" Type="http://schemas.openxmlformats.org/officeDocument/2006/relationships/hyperlink" Target="https://op.gg/es/lol/summoners/las/ChemitaCore-1111" TargetMode="External"/><Relationship Id="rId119" Type="http://schemas.openxmlformats.org/officeDocument/2006/relationships/hyperlink" Target="https://op.gg/es/lol/summoners/las/ElCuecas-EDG" TargetMode="External"/><Relationship Id="rId110" Type="http://schemas.openxmlformats.org/officeDocument/2006/relationships/hyperlink" Target="https://op.gg/es/lol/summoners/las/ZeroFortuna-XXX" TargetMode="External"/><Relationship Id="rId231" Type="http://schemas.openxmlformats.org/officeDocument/2006/relationships/hyperlink" Target="https://op.gg/lol/summoners/las/DCG%20Nomacalaris-XYZ" TargetMode="External"/><Relationship Id="rId352" Type="http://schemas.openxmlformats.org/officeDocument/2006/relationships/hyperlink" Target="https://op.gg/es/lol/summoners/las/GORDO%20T%C3%81CTICO-TFT" TargetMode="External"/><Relationship Id="rId230" Type="http://schemas.openxmlformats.org/officeDocument/2006/relationships/hyperlink" Target="https://op.gg/lol/summoners/las/DCG%20gato%20dron-RLC" TargetMode="External"/><Relationship Id="rId351" Type="http://schemas.openxmlformats.org/officeDocument/2006/relationships/hyperlink" Target="https://op.gg/lol/summoners/lan/Sweed%20Dreams-LAN" TargetMode="External"/><Relationship Id="rId350" Type="http://schemas.openxmlformats.org/officeDocument/2006/relationships/hyperlink" Target="https://op.gg/pt/lol/summoners/las/FAZANeldelosXD-LAS" TargetMode="External"/><Relationship Id="rId114" Type="http://schemas.openxmlformats.org/officeDocument/2006/relationships/hyperlink" Target="https://op.gg/lol/summoners/las/S3US3R3NRE-LAS" TargetMode="External"/><Relationship Id="rId235" Type="http://schemas.openxmlformats.org/officeDocument/2006/relationships/hyperlink" Target="https://op.gg/es/lol/summoners/las/dig%20degtrex-2203" TargetMode="External"/><Relationship Id="rId356" Type="http://schemas.openxmlformats.org/officeDocument/2006/relationships/hyperlink" Target="https://op.gg/pt/lol/summoners/las/Natozito-adc" TargetMode="External"/><Relationship Id="rId113" Type="http://schemas.openxmlformats.org/officeDocument/2006/relationships/hyperlink" Target="https://op.gg/es/lol/summoners/las/Cextribe-LAS" TargetMode="External"/><Relationship Id="rId234" Type="http://schemas.openxmlformats.org/officeDocument/2006/relationships/hyperlink" Target="https://op.gg/es/lol/summoners/las/RobiMani-LAS" TargetMode="External"/><Relationship Id="rId355" Type="http://schemas.openxmlformats.org/officeDocument/2006/relationships/hyperlink" Target="https://op.gg/es/lol/summoners/las/vladileague-LAS" TargetMode="External"/><Relationship Id="rId112" Type="http://schemas.openxmlformats.org/officeDocument/2006/relationships/hyperlink" Target="https://op.gg/es/lol/summoners/las/Montielsm-LAS" TargetMode="External"/><Relationship Id="rId233" Type="http://schemas.openxmlformats.org/officeDocument/2006/relationships/hyperlink" Target="https://op.gg/lol/summoners/las/DCG%20Radis-PTS" TargetMode="External"/><Relationship Id="rId354" Type="http://schemas.openxmlformats.org/officeDocument/2006/relationships/hyperlink" Target="https://op.gg/es/lol/summoners/las/Acuariusangel-LAS" TargetMode="External"/><Relationship Id="rId111" Type="http://schemas.openxmlformats.org/officeDocument/2006/relationships/hyperlink" Target="https://op.gg/es/lol/summoners/las/SKP%20DeaD%20PooL-LAS" TargetMode="External"/><Relationship Id="rId232" Type="http://schemas.openxmlformats.org/officeDocument/2006/relationships/hyperlink" Target="https://op.gg/es/lol/summoners/las/FOcus%20al%20adc-ptes" TargetMode="External"/><Relationship Id="rId353" Type="http://schemas.openxmlformats.org/officeDocument/2006/relationships/hyperlink" Target="https://op.gg/es/lol/summoners/las/clainer4-LAS" TargetMode="External"/><Relationship Id="rId305" Type="http://schemas.openxmlformats.org/officeDocument/2006/relationships/hyperlink" Target="https://op.gg/es/lol/summoners/las/luchito-day" TargetMode="External"/><Relationship Id="rId426" Type="http://schemas.openxmlformats.org/officeDocument/2006/relationships/table" Target="../tables/table7.xml"/><Relationship Id="rId304" Type="http://schemas.openxmlformats.org/officeDocument/2006/relationships/hyperlink" Target="https://op.gg/es/lol/summoners/lan/Rikichin-LAN" TargetMode="External"/><Relationship Id="rId425" Type="http://schemas.openxmlformats.org/officeDocument/2006/relationships/table" Target="../tables/table6.xml"/><Relationship Id="rId303" Type="http://schemas.openxmlformats.org/officeDocument/2006/relationships/hyperlink" Target="https://op.gg/es/lol/summoners/las/ExplosiveSweat2-LPL" TargetMode="External"/><Relationship Id="rId424" Type="http://schemas.openxmlformats.org/officeDocument/2006/relationships/table" Target="../tables/table5.xml"/><Relationship Id="rId302" Type="http://schemas.openxmlformats.org/officeDocument/2006/relationships/hyperlink" Target="https://www.leagueofgraphs.com/summoner/lan/Bubb%C3%A1%20Kush-LAN" TargetMode="External"/><Relationship Id="rId423" Type="http://schemas.openxmlformats.org/officeDocument/2006/relationships/table" Target="../tables/table4.xml"/><Relationship Id="rId309" Type="http://schemas.openxmlformats.org/officeDocument/2006/relationships/hyperlink" Target="https://op.gg/es/lol/summoners/las/Dekro%20TFT-LAS" TargetMode="External"/><Relationship Id="rId308" Type="http://schemas.openxmlformats.org/officeDocument/2006/relationships/hyperlink" Target="https://op.gg/es/lol/summoners/lan/willkrossxi-LAN" TargetMode="External"/><Relationship Id="rId429" Type="http://schemas.openxmlformats.org/officeDocument/2006/relationships/table" Target="../tables/table10.xml"/><Relationship Id="rId307" Type="http://schemas.openxmlformats.org/officeDocument/2006/relationships/hyperlink" Target="https://op.gg/es/lol/summoners/las/Nosoywillkrossxi-sisoy" TargetMode="External"/><Relationship Id="rId428" Type="http://schemas.openxmlformats.org/officeDocument/2006/relationships/table" Target="../tables/table9.xml"/><Relationship Id="rId306" Type="http://schemas.openxmlformats.org/officeDocument/2006/relationships/hyperlink" Target="https://op.gg/lol/summoners/LAN/MDA%20POTTE%E5%B0%BA-ZZZ" TargetMode="External"/><Relationship Id="rId427" Type="http://schemas.openxmlformats.org/officeDocument/2006/relationships/table" Target="../tables/table8.xml"/><Relationship Id="rId301" Type="http://schemas.openxmlformats.org/officeDocument/2006/relationships/hyperlink" Target="https://op.gg/lol/summoners/las/SrOso%20IV-LAS" TargetMode="External"/><Relationship Id="rId300" Type="http://schemas.openxmlformats.org/officeDocument/2006/relationships/hyperlink" Target="https://www.leagueofgraphs.com/summoner/lan/Jeche-flscn" TargetMode="External"/><Relationship Id="rId206" Type="http://schemas.openxmlformats.org/officeDocument/2006/relationships/hyperlink" Target="https://op.gg/lol/summoners/las/ACG%20Ch4ca1ing-Shesh" TargetMode="External"/><Relationship Id="rId327" Type="http://schemas.openxmlformats.org/officeDocument/2006/relationships/hyperlink" Target="https://op.gg/es/lol/summoners/las/theboomFL-8619" TargetMode="External"/><Relationship Id="rId448" Type="http://schemas.openxmlformats.org/officeDocument/2006/relationships/table" Target="../tables/table29.xml"/><Relationship Id="rId205" Type="http://schemas.openxmlformats.org/officeDocument/2006/relationships/hyperlink" Target="https://op.gg/es/lol/summoners/las/%C5%9Eaqqir112-1235" TargetMode="External"/><Relationship Id="rId326" Type="http://schemas.openxmlformats.org/officeDocument/2006/relationships/hyperlink" Target="https://op.gg/es/lol/summoners/lan/Holeeshet-9099" TargetMode="External"/><Relationship Id="rId447" Type="http://schemas.openxmlformats.org/officeDocument/2006/relationships/table" Target="../tables/table28.xml"/><Relationship Id="rId204" Type="http://schemas.openxmlformats.org/officeDocument/2006/relationships/hyperlink" Target="https://op.gg/lol/summoners/las/ACG%20FueraVen3c0s-Down" TargetMode="External"/><Relationship Id="rId325" Type="http://schemas.openxmlformats.org/officeDocument/2006/relationships/hyperlink" Target="https://op.gg/es/lol/summoners/las/%C3%98H%20Lee%20Shet-LAS" TargetMode="External"/><Relationship Id="rId446" Type="http://schemas.openxmlformats.org/officeDocument/2006/relationships/table" Target="../tables/table27.xml"/><Relationship Id="rId203" Type="http://schemas.openxmlformats.org/officeDocument/2006/relationships/hyperlink" Target="https://op.gg/es/lol/summoners/las/EL%20RORR0-6969" TargetMode="External"/><Relationship Id="rId324" Type="http://schemas.openxmlformats.org/officeDocument/2006/relationships/hyperlink" Target="https://op.gg/es/lol/summoners/lan/jos1w-LAN" TargetMode="External"/><Relationship Id="rId445" Type="http://schemas.openxmlformats.org/officeDocument/2006/relationships/table" Target="../tables/table26.xml"/><Relationship Id="rId209" Type="http://schemas.openxmlformats.org/officeDocument/2006/relationships/hyperlink" Target="https://op.gg/es/lol/summoners/las/Charmilian-LAS" TargetMode="External"/><Relationship Id="rId208" Type="http://schemas.openxmlformats.org/officeDocument/2006/relationships/hyperlink" Target="https://op.gg/lol/summoners/las/ACG%20MomazosKocho-Kocho" TargetMode="External"/><Relationship Id="rId329" Type="http://schemas.openxmlformats.org/officeDocument/2006/relationships/hyperlink" Target="https://op.gg/es/lol/summoners/las/MILER%20xD-LAS" TargetMode="External"/><Relationship Id="rId207" Type="http://schemas.openxmlformats.org/officeDocument/2006/relationships/hyperlink" Target="https://op.gg/es/lol/summoners/las/Castitatis-pipeM" TargetMode="External"/><Relationship Id="rId328" Type="http://schemas.openxmlformats.org/officeDocument/2006/relationships/hyperlink" Target="https://op.gg/es/lol/summoners/lan/THESHY%20BOOMFL-13131" TargetMode="External"/><Relationship Id="rId449" Type="http://schemas.openxmlformats.org/officeDocument/2006/relationships/table" Target="../tables/table30.xml"/><Relationship Id="rId440" Type="http://schemas.openxmlformats.org/officeDocument/2006/relationships/table" Target="../tables/table21.xml"/><Relationship Id="rId202" Type="http://schemas.openxmlformats.org/officeDocument/2006/relationships/hyperlink" Target="https://op.gg/lol/summoners/las/ACG%20Pochoclo-YIPII" TargetMode="External"/><Relationship Id="rId323" Type="http://schemas.openxmlformats.org/officeDocument/2006/relationships/hyperlink" Target="https://op.gg/es/lol/summoners/las/jhoshiw1-8998" TargetMode="External"/><Relationship Id="rId444" Type="http://schemas.openxmlformats.org/officeDocument/2006/relationships/table" Target="../tables/table25.xml"/><Relationship Id="rId201" Type="http://schemas.openxmlformats.org/officeDocument/2006/relationships/hyperlink" Target="https://op.gg/es/lol/summoners/las/Sylvester%20t4lon-LAS" TargetMode="External"/><Relationship Id="rId322" Type="http://schemas.openxmlformats.org/officeDocument/2006/relationships/hyperlink" Target="https://op.gg/lol/summoners/lan/Tl%20Gumayushi%20-LAN" TargetMode="External"/><Relationship Id="rId443" Type="http://schemas.openxmlformats.org/officeDocument/2006/relationships/table" Target="../tables/table24.xml"/><Relationship Id="rId200" Type="http://schemas.openxmlformats.org/officeDocument/2006/relationships/hyperlink" Target="https://op.gg/lol/summoners/las/ACG%20Syhorm-013" TargetMode="External"/><Relationship Id="rId321" Type="http://schemas.openxmlformats.org/officeDocument/2006/relationships/hyperlink" Target="https://op.gg/es/lol/summoners/las/T1%20Zeus-ONE" TargetMode="External"/><Relationship Id="rId442" Type="http://schemas.openxmlformats.org/officeDocument/2006/relationships/table" Target="../tables/table23.xml"/><Relationship Id="rId320" Type="http://schemas.openxmlformats.org/officeDocument/2006/relationships/hyperlink" Target="https://op.gg/es/lol/summoners/lan/jhonfarodiu-LAN" TargetMode="External"/><Relationship Id="rId441" Type="http://schemas.openxmlformats.org/officeDocument/2006/relationships/table" Target="../tables/table22.xml"/><Relationship Id="rId316" Type="http://schemas.openxmlformats.org/officeDocument/2006/relationships/hyperlink" Target="https://op.gg/es/lol/summoners/lan/Auggus-LAN" TargetMode="External"/><Relationship Id="rId437" Type="http://schemas.openxmlformats.org/officeDocument/2006/relationships/table" Target="../tables/table18.xml"/><Relationship Id="rId315" Type="http://schemas.openxmlformats.org/officeDocument/2006/relationships/hyperlink" Target="https://op.gg/es/lol/summoners/las/SAULHARS-17N" TargetMode="External"/><Relationship Id="rId436" Type="http://schemas.openxmlformats.org/officeDocument/2006/relationships/table" Target="../tables/table17.xml"/><Relationship Id="rId314" Type="http://schemas.openxmlformats.org/officeDocument/2006/relationships/hyperlink" Target="https://op.gg/lol/summoners/lan/Diabolique-LAN" TargetMode="External"/><Relationship Id="rId435" Type="http://schemas.openxmlformats.org/officeDocument/2006/relationships/table" Target="../tables/table16.xml"/><Relationship Id="rId313" Type="http://schemas.openxmlformats.org/officeDocument/2006/relationships/hyperlink" Target="https://op.gg/es/lol/summoners/las/G2%20CarritosKami-LAS" TargetMode="External"/><Relationship Id="rId434" Type="http://schemas.openxmlformats.org/officeDocument/2006/relationships/table" Target="../tables/table15.xml"/><Relationship Id="rId319" Type="http://schemas.openxmlformats.org/officeDocument/2006/relationships/hyperlink" Target="https://op.gg/es/lol/summoners/las/SKS%20jhonfarodiu-LAS" TargetMode="External"/><Relationship Id="rId318" Type="http://schemas.openxmlformats.org/officeDocument/2006/relationships/hyperlink" Target="https://op.gg/lol/summoners/lan/Dante%20kero-666" TargetMode="External"/><Relationship Id="rId439" Type="http://schemas.openxmlformats.org/officeDocument/2006/relationships/table" Target="../tables/table20.xml"/><Relationship Id="rId317" Type="http://schemas.openxmlformats.org/officeDocument/2006/relationships/hyperlink" Target="https://op.gg/es/lol/summoners/las/Mc%20rAiDEr%20x-LAS" TargetMode="External"/><Relationship Id="rId438" Type="http://schemas.openxmlformats.org/officeDocument/2006/relationships/table" Target="../tables/table19.xml"/><Relationship Id="rId312" Type="http://schemas.openxmlformats.org/officeDocument/2006/relationships/hyperlink" Target="https://op.gg/es/lol/summoners/lan/MARCONEX-666" TargetMode="External"/><Relationship Id="rId433" Type="http://schemas.openxmlformats.org/officeDocument/2006/relationships/table" Target="../tables/table14.xml"/><Relationship Id="rId311" Type="http://schemas.openxmlformats.org/officeDocument/2006/relationships/hyperlink" Target="https://op.gg/es/lol/summoners/las/MARCONEX-777" TargetMode="External"/><Relationship Id="rId432" Type="http://schemas.openxmlformats.org/officeDocument/2006/relationships/table" Target="../tables/table13.xml"/><Relationship Id="rId310" Type="http://schemas.openxmlformats.org/officeDocument/2006/relationships/hyperlink" Target="https://op.gg/es/lol/summoners/las/Dekro%20TFT-LAS" TargetMode="External"/><Relationship Id="rId431" Type="http://schemas.openxmlformats.org/officeDocument/2006/relationships/table" Target="../tables/table12.xml"/><Relationship Id="rId430" Type="http://schemas.openxmlformats.org/officeDocument/2006/relationships/table" Target="../tables/table1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23.0"/>
    <col customWidth="1" min="3" max="3" width="10.38"/>
    <col customWidth="1" min="4" max="4" width="7.75"/>
    <col customWidth="1" min="5" max="5" width="18.88"/>
    <col customWidth="1" min="6" max="6" width="33.25"/>
    <col customWidth="1" min="7" max="7" width="37.63"/>
    <col customWidth="1" min="8" max="8" width="18.88"/>
    <col customWidth="1" min="9" max="9" width="35.13"/>
    <col customWidth="1" min="10" max="10" width="25.25"/>
    <col customWidth="1" min="11" max="11" width="20.38"/>
    <col customWidth="1" min="12" max="12" width="34.88"/>
    <col customWidth="1" min="13" max="13" width="23.88"/>
    <col customWidth="1" min="14" max="14" width="18.88"/>
    <col customWidth="1" min="15" max="15" width="47.0"/>
    <col customWidth="1" min="16" max="16" width="53.13"/>
    <col customWidth="1" min="17" max="17" width="18.88"/>
    <col customWidth="1" min="18" max="18" width="32.38"/>
    <col customWidth="1" min="19" max="19" width="24.25"/>
    <col customWidth="1" min="20" max="20" width="26.5"/>
    <col customWidth="1" min="21" max="21" width="37.63"/>
    <col customWidth="1" min="22" max="22" width="22.75"/>
    <col customWidth="1" min="23" max="23" width="18.88"/>
    <col customWidth="1" min="24" max="24" width="29.63"/>
    <col customWidth="1" min="25" max="25" width="41.38"/>
    <col customWidth="1" min="26" max="26" width="18.88"/>
    <col customWidth="1" min="27" max="27" width="32.38"/>
    <col customWidth="1" min="28" max="28" width="24.25"/>
    <col customWidth="1" min="29" max="29" width="26.5"/>
    <col customWidth="1" min="30" max="30" width="37.63"/>
    <col customWidth="1" min="31" max="31" width="23.75"/>
    <col customWidth="1" min="32" max="32" width="18.88"/>
    <col customWidth="1" min="33" max="33" width="40.13"/>
    <col customWidth="1" min="34" max="34" width="35.75"/>
    <col customWidth="1" min="35" max="35" width="24.25"/>
    <col customWidth="1" min="36" max="36" width="32.38"/>
    <col customWidth="1" min="37" max="37" width="24.25"/>
    <col customWidth="1" min="38" max="38" width="26.5"/>
    <col customWidth="1" min="39" max="39" width="37.63"/>
    <col customWidth="1" min="40" max="40" width="23.38"/>
    <col customWidth="1" min="41" max="41" width="18.88"/>
    <col customWidth="1" min="42" max="42" width="29.63"/>
    <col customWidth="1" min="43" max="43" width="29.5"/>
    <col customWidth="1" min="44" max="44" width="18.88"/>
    <col customWidth="1" min="45" max="45" width="32.38"/>
    <col customWidth="1" min="46" max="46" width="24.25"/>
    <col customWidth="1" min="47" max="47" width="26.5"/>
    <col customWidth="1" min="48" max="48" width="37.63"/>
    <col customWidth="1" min="49" max="49" width="22.88"/>
    <col customWidth="1" min="50" max="50" width="18.88"/>
    <col customWidth="1" min="51" max="51" width="29.63"/>
    <col customWidth="1" min="52" max="52" width="31.0"/>
    <col customWidth="1" min="53" max="53" width="18.88"/>
    <col customWidth="1" min="54" max="54" width="32.38"/>
    <col customWidth="1" min="55" max="55" width="24.25"/>
    <col customWidth="1" min="56" max="56" width="26.5"/>
    <col customWidth="1" min="57" max="57" width="106.25"/>
    <col customWidth="1" min="58" max="58" width="24.75"/>
    <col customWidth="1" min="59" max="214" width="18.88"/>
  </cols>
  <sheetData>
    <row r="1">
      <c r="A1" s="1"/>
      <c r="B1" s="2"/>
      <c r="C1" s="3"/>
      <c r="D1" s="3"/>
      <c r="E1" s="4"/>
      <c r="F1" s="3"/>
      <c r="G1" s="3"/>
      <c r="H1" s="3"/>
      <c r="I1" s="3"/>
      <c r="J1" s="3"/>
      <c r="K1" s="3"/>
      <c r="L1" s="5" t="s">
        <v>0</v>
      </c>
      <c r="M1" s="5" t="s">
        <v>0</v>
      </c>
      <c r="N1" s="5" t="s">
        <v>0</v>
      </c>
      <c r="O1" s="5" t="s">
        <v>0</v>
      </c>
      <c r="P1" s="5" t="s">
        <v>0</v>
      </c>
      <c r="Q1" s="5" t="s">
        <v>0</v>
      </c>
      <c r="R1" s="5" t="s">
        <v>0</v>
      </c>
      <c r="S1" s="5" t="s">
        <v>0</v>
      </c>
      <c r="T1" s="5" t="s">
        <v>0</v>
      </c>
      <c r="U1" s="6" t="s">
        <v>1</v>
      </c>
      <c r="V1" s="6" t="s">
        <v>1</v>
      </c>
      <c r="W1" s="6" t="s">
        <v>1</v>
      </c>
      <c r="X1" s="6" t="s">
        <v>1</v>
      </c>
      <c r="Y1" s="6" t="s">
        <v>1</v>
      </c>
      <c r="Z1" s="6" t="s">
        <v>1</v>
      </c>
      <c r="AA1" s="6" t="s">
        <v>1</v>
      </c>
      <c r="AB1" s="6" t="s">
        <v>1</v>
      </c>
      <c r="AC1" s="6" t="s">
        <v>1</v>
      </c>
      <c r="AD1" s="7" t="s">
        <v>2</v>
      </c>
      <c r="AE1" s="7" t="s">
        <v>2</v>
      </c>
      <c r="AF1" s="7" t="s">
        <v>2</v>
      </c>
      <c r="AG1" s="7" t="s">
        <v>2</v>
      </c>
      <c r="AH1" s="7" t="s">
        <v>2</v>
      </c>
      <c r="AI1" s="7" t="s">
        <v>2</v>
      </c>
      <c r="AJ1" s="7" t="s">
        <v>2</v>
      </c>
      <c r="AK1" s="7" t="s">
        <v>2</v>
      </c>
      <c r="AL1" s="7" t="s">
        <v>2</v>
      </c>
      <c r="AM1" s="6" t="s">
        <v>3</v>
      </c>
      <c r="AN1" s="6" t="s">
        <v>3</v>
      </c>
      <c r="AO1" s="6" t="s">
        <v>3</v>
      </c>
      <c r="AP1" s="6" t="s">
        <v>3</v>
      </c>
      <c r="AQ1" s="6" t="s">
        <v>3</v>
      </c>
      <c r="AR1" s="6" t="s">
        <v>3</v>
      </c>
      <c r="AS1" s="6" t="s">
        <v>3</v>
      </c>
      <c r="AT1" s="6" t="s">
        <v>3</v>
      </c>
      <c r="AU1" s="6" t="s">
        <v>3</v>
      </c>
      <c r="AV1" s="7" t="s">
        <v>4</v>
      </c>
      <c r="AW1" s="7" t="s">
        <v>4</v>
      </c>
      <c r="AX1" s="7" t="s">
        <v>4</v>
      </c>
      <c r="AY1" s="7" t="s">
        <v>4</v>
      </c>
      <c r="AZ1" s="7" t="s">
        <v>4</v>
      </c>
      <c r="BA1" s="7" t="s">
        <v>4</v>
      </c>
      <c r="BB1" s="7" t="s">
        <v>4</v>
      </c>
      <c r="BC1" s="7" t="s">
        <v>4</v>
      </c>
      <c r="BD1" s="7" t="s">
        <v>4</v>
      </c>
      <c r="BE1" s="2"/>
      <c r="BF1" s="3"/>
      <c r="BG1" s="8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4"/>
    </row>
    <row r="2" ht="22.5" customHeight="1">
      <c r="A2" s="9" t="s">
        <v>5</v>
      </c>
      <c r="B2" s="10" t="s">
        <v>6</v>
      </c>
      <c r="C2" s="10" t="s">
        <v>7</v>
      </c>
      <c r="D2" s="9" t="s">
        <v>8</v>
      </c>
      <c r="E2" s="11" t="s">
        <v>9</v>
      </c>
      <c r="F2" s="10" t="s">
        <v>10</v>
      </c>
      <c r="G2" s="9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12" t="s">
        <v>16</v>
      </c>
      <c r="M2" s="10" t="s">
        <v>17</v>
      </c>
      <c r="N2" s="9" t="s">
        <v>18</v>
      </c>
      <c r="O2" s="9" t="s">
        <v>19</v>
      </c>
      <c r="P2" s="11" t="s">
        <v>20</v>
      </c>
      <c r="Q2" s="11" t="s">
        <v>21</v>
      </c>
      <c r="R2" s="9" t="s">
        <v>22</v>
      </c>
      <c r="S2" s="9" t="s">
        <v>23</v>
      </c>
      <c r="T2" s="13" t="s">
        <v>24</v>
      </c>
      <c r="U2" s="10" t="s">
        <v>25</v>
      </c>
      <c r="V2" s="10" t="s">
        <v>26</v>
      </c>
      <c r="W2" s="9" t="s">
        <v>27</v>
      </c>
      <c r="X2" s="9" t="s">
        <v>28</v>
      </c>
      <c r="Y2" s="11" t="s">
        <v>29</v>
      </c>
      <c r="Z2" s="11" t="s">
        <v>30</v>
      </c>
      <c r="AA2" s="9" t="s">
        <v>31</v>
      </c>
      <c r="AB2" s="9" t="s">
        <v>32</v>
      </c>
      <c r="AC2" s="13" t="s">
        <v>33</v>
      </c>
      <c r="AD2" s="9" t="s">
        <v>34</v>
      </c>
      <c r="AE2" s="10" t="s">
        <v>35</v>
      </c>
      <c r="AF2" s="9" t="s">
        <v>36</v>
      </c>
      <c r="AG2" s="9" t="s">
        <v>37</v>
      </c>
      <c r="AH2" s="11" t="s">
        <v>38</v>
      </c>
      <c r="AI2" s="11" t="s">
        <v>39</v>
      </c>
      <c r="AJ2" s="9" t="s">
        <v>40</v>
      </c>
      <c r="AK2" s="9" t="s">
        <v>41</v>
      </c>
      <c r="AL2" s="13" t="s">
        <v>42</v>
      </c>
      <c r="AM2" s="10" t="s">
        <v>43</v>
      </c>
      <c r="AN2" s="9" t="s">
        <v>44</v>
      </c>
      <c r="AO2" s="9" t="s">
        <v>45</v>
      </c>
      <c r="AP2" s="9" t="s">
        <v>46</v>
      </c>
      <c r="AQ2" s="11" t="s">
        <v>47</v>
      </c>
      <c r="AR2" s="11" t="s">
        <v>48</v>
      </c>
      <c r="AS2" s="9" t="s">
        <v>49</v>
      </c>
      <c r="AT2" s="9" t="s">
        <v>50</v>
      </c>
      <c r="AU2" s="13" t="s">
        <v>51</v>
      </c>
      <c r="AV2" s="9" t="s">
        <v>52</v>
      </c>
      <c r="AW2" s="9" t="s">
        <v>53</v>
      </c>
      <c r="AX2" s="9" t="s">
        <v>54</v>
      </c>
      <c r="AY2" s="9" t="s">
        <v>55</v>
      </c>
      <c r="AZ2" s="11" t="s">
        <v>56</v>
      </c>
      <c r="BA2" s="11" t="s">
        <v>57</v>
      </c>
      <c r="BB2" s="9" t="s">
        <v>58</v>
      </c>
      <c r="BC2" s="9" t="s">
        <v>59</v>
      </c>
      <c r="BD2" s="13" t="s">
        <v>60</v>
      </c>
      <c r="BE2" s="10" t="s">
        <v>61</v>
      </c>
      <c r="BF2" s="9" t="s">
        <v>62</v>
      </c>
      <c r="BG2" s="14" t="s">
        <v>63</v>
      </c>
      <c r="BH2" s="11" t="s">
        <v>64</v>
      </c>
      <c r="BI2" s="11" t="s">
        <v>65</v>
      </c>
      <c r="BJ2" s="11" t="s">
        <v>66</v>
      </c>
      <c r="BK2" s="11" t="s">
        <v>67</v>
      </c>
      <c r="BL2" s="11" t="s">
        <v>68</v>
      </c>
      <c r="BM2" s="11" t="s">
        <v>69</v>
      </c>
      <c r="BN2" s="11" t="s">
        <v>70</v>
      </c>
      <c r="BO2" s="11" t="s">
        <v>71</v>
      </c>
      <c r="BP2" s="11" t="s">
        <v>72</v>
      </c>
      <c r="BQ2" s="11" t="s">
        <v>73</v>
      </c>
      <c r="BR2" s="11" t="s">
        <v>74</v>
      </c>
      <c r="BS2" s="11" t="s">
        <v>75</v>
      </c>
      <c r="BT2" s="11" t="s">
        <v>76</v>
      </c>
      <c r="BU2" s="11" t="s">
        <v>77</v>
      </c>
      <c r="BV2" s="11" t="s">
        <v>78</v>
      </c>
      <c r="BW2" s="11" t="s">
        <v>79</v>
      </c>
      <c r="BX2" s="11" t="s">
        <v>80</v>
      </c>
      <c r="BY2" s="11" t="s">
        <v>81</v>
      </c>
      <c r="BZ2" s="11" t="s">
        <v>82</v>
      </c>
      <c r="CA2" s="11" t="s">
        <v>83</v>
      </c>
      <c r="CB2" s="11" t="s">
        <v>84</v>
      </c>
      <c r="CC2" s="11" t="s">
        <v>85</v>
      </c>
      <c r="CD2" s="11" t="s">
        <v>86</v>
      </c>
      <c r="CE2" s="11" t="s">
        <v>87</v>
      </c>
      <c r="CF2" s="11" t="s">
        <v>88</v>
      </c>
      <c r="CG2" s="11" t="s">
        <v>89</v>
      </c>
      <c r="CH2" s="11" t="s">
        <v>90</v>
      </c>
      <c r="CI2" s="11" t="s">
        <v>91</v>
      </c>
      <c r="CJ2" s="11" t="s">
        <v>92</v>
      </c>
      <c r="CK2" s="11" t="s">
        <v>93</v>
      </c>
      <c r="CL2" s="11" t="s">
        <v>94</v>
      </c>
      <c r="CM2" s="11" t="s">
        <v>95</v>
      </c>
      <c r="CN2" s="11" t="s">
        <v>96</v>
      </c>
      <c r="CO2" s="11" t="s">
        <v>97</v>
      </c>
      <c r="CP2" s="11" t="s">
        <v>98</v>
      </c>
      <c r="CQ2" s="11" t="s">
        <v>99</v>
      </c>
      <c r="CR2" s="11" t="s">
        <v>100</v>
      </c>
      <c r="CS2" s="11" t="s">
        <v>101</v>
      </c>
      <c r="CT2" s="11" t="s">
        <v>102</v>
      </c>
      <c r="CU2" s="11" t="s">
        <v>103</v>
      </c>
      <c r="CV2" s="11" t="s">
        <v>104</v>
      </c>
      <c r="CW2" s="11" t="s">
        <v>105</v>
      </c>
      <c r="CX2" s="11" t="s">
        <v>106</v>
      </c>
      <c r="CY2" s="11" t="s">
        <v>107</v>
      </c>
      <c r="CZ2" s="11" t="s">
        <v>108</v>
      </c>
      <c r="DA2" s="11" t="s">
        <v>109</v>
      </c>
      <c r="DB2" s="11" t="s">
        <v>110</v>
      </c>
      <c r="DC2" s="11" t="s">
        <v>111</v>
      </c>
      <c r="DD2" s="11" t="s">
        <v>112</v>
      </c>
      <c r="DE2" s="11" t="s">
        <v>113</v>
      </c>
      <c r="DF2" s="11" t="s">
        <v>114</v>
      </c>
      <c r="DG2" s="11" t="s">
        <v>115</v>
      </c>
      <c r="DH2" s="11" t="s">
        <v>116</v>
      </c>
      <c r="DI2" s="11" t="s">
        <v>117</v>
      </c>
      <c r="DJ2" s="11" t="s">
        <v>118</v>
      </c>
      <c r="DK2" s="11" t="s">
        <v>119</v>
      </c>
      <c r="DL2" s="11" t="s">
        <v>120</v>
      </c>
      <c r="DM2" s="11" t="s">
        <v>121</v>
      </c>
      <c r="DN2" s="11" t="s">
        <v>122</v>
      </c>
      <c r="DO2" s="11" t="s">
        <v>123</v>
      </c>
      <c r="DP2" s="11" t="s">
        <v>124</v>
      </c>
      <c r="DQ2" s="11" t="s">
        <v>125</v>
      </c>
      <c r="DR2" s="11" t="s">
        <v>126</v>
      </c>
      <c r="DS2" s="11" t="s">
        <v>127</v>
      </c>
      <c r="DT2" s="11" t="s">
        <v>128</v>
      </c>
      <c r="DU2" s="11" t="s">
        <v>129</v>
      </c>
      <c r="DV2" s="11" t="s">
        <v>130</v>
      </c>
      <c r="DW2" s="11" t="s">
        <v>131</v>
      </c>
      <c r="DX2" s="11" t="s">
        <v>132</v>
      </c>
      <c r="DY2" s="11" t="s">
        <v>133</v>
      </c>
      <c r="DZ2" s="11" t="s">
        <v>134</v>
      </c>
      <c r="EA2" s="11" t="s">
        <v>135</v>
      </c>
      <c r="EB2" s="11" t="s">
        <v>136</v>
      </c>
      <c r="EC2" s="11" t="s">
        <v>137</v>
      </c>
      <c r="ED2" s="11" t="s">
        <v>138</v>
      </c>
      <c r="EE2" s="11" t="s">
        <v>139</v>
      </c>
      <c r="EF2" s="11" t="s">
        <v>140</v>
      </c>
      <c r="EG2" s="11" t="s">
        <v>141</v>
      </c>
      <c r="EH2" s="11" t="s">
        <v>142</v>
      </c>
      <c r="EI2" s="11" t="s">
        <v>143</v>
      </c>
      <c r="EJ2" s="11" t="s">
        <v>144</v>
      </c>
      <c r="EK2" s="11" t="s">
        <v>145</v>
      </c>
      <c r="EL2" s="11" t="s">
        <v>146</v>
      </c>
      <c r="EM2" s="11" t="s">
        <v>147</v>
      </c>
      <c r="EN2" s="11" t="s">
        <v>148</v>
      </c>
      <c r="EO2" s="11" t="s">
        <v>149</v>
      </c>
      <c r="EP2" s="11" t="s">
        <v>150</v>
      </c>
      <c r="EQ2" s="11" t="s">
        <v>151</v>
      </c>
      <c r="ER2" s="11" t="s">
        <v>152</v>
      </c>
      <c r="ES2" s="11" t="s">
        <v>153</v>
      </c>
      <c r="ET2" s="11" t="s">
        <v>154</v>
      </c>
      <c r="EU2" s="11" t="s">
        <v>155</v>
      </c>
      <c r="EV2" s="11" t="s">
        <v>156</v>
      </c>
      <c r="EW2" s="11" t="s">
        <v>157</v>
      </c>
      <c r="EX2" s="11" t="s">
        <v>158</v>
      </c>
      <c r="EY2" s="11" t="s">
        <v>159</v>
      </c>
      <c r="EZ2" s="11" t="s">
        <v>160</v>
      </c>
      <c r="FA2" s="11" t="s">
        <v>161</v>
      </c>
      <c r="FB2" s="11" t="s">
        <v>162</v>
      </c>
      <c r="FC2" s="11" t="s">
        <v>163</v>
      </c>
      <c r="FD2" s="11" t="s">
        <v>164</v>
      </c>
      <c r="FE2" s="11" t="s">
        <v>165</v>
      </c>
      <c r="FF2" s="11" t="s">
        <v>166</v>
      </c>
      <c r="FG2" s="11" t="s">
        <v>167</v>
      </c>
      <c r="FH2" s="11" t="s">
        <v>168</v>
      </c>
      <c r="FI2" s="11" t="s">
        <v>169</v>
      </c>
      <c r="FJ2" s="11" t="s">
        <v>170</v>
      </c>
      <c r="FK2" s="11" t="s">
        <v>171</v>
      </c>
      <c r="FL2" s="11" t="s">
        <v>172</v>
      </c>
      <c r="FM2" s="11" t="s">
        <v>173</v>
      </c>
      <c r="FN2" s="11" t="s">
        <v>174</v>
      </c>
      <c r="FO2" s="11" t="s">
        <v>175</v>
      </c>
      <c r="FP2" s="11" t="s">
        <v>176</v>
      </c>
      <c r="FQ2" s="11" t="s">
        <v>177</v>
      </c>
      <c r="FR2" s="11" t="s">
        <v>178</v>
      </c>
      <c r="FS2" s="11" t="s">
        <v>179</v>
      </c>
      <c r="FT2" s="11" t="s">
        <v>180</v>
      </c>
      <c r="FU2" s="11" t="s">
        <v>181</v>
      </c>
      <c r="FV2" s="11" t="s">
        <v>182</v>
      </c>
      <c r="FW2" s="11" t="s">
        <v>183</v>
      </c>
      <c r="FX2" s="11" t="s">
        <v>184</v>
      </c>
      <c r="FY2" s="11" t="s">
        <v>185</v>
      </c>
      <c r="FZ2" s="11" t="s">
        <v>186</v>
      </c>
      <c r="GA2" s="11" t="s">
        <v>187</v>
      </c>
      <c r="GB2" s="11" t="s">
        <v>188</v>
      </c>
      <c r="GC2" s="11" t="s">
        <v>189</v>
      </c>
      <c r="GD2" s="11" t="s">
        <v>190</v>
      </c>
      <c r="GE2" s="11" t="s">
        <v>191</v>
      </c>
      <c r="GF2" s="11" t="s">
        <v>192</v>
      </c>
      <c r="GG2" s="11" t="s">
        <v>193</v>
      </c>
      <c r="GH2" s="11" t="s">
        <v>194</v>
      </c>
      <c r="GI2" s="11" t="s">
        <v>195</v>
      </c>
      <c r="GJ2" s="11" t="s">
        <v>196</v>
      </c>
      <c r="GK2" s="11" t="s">
        <v>197</v>
      </c>
      <c r="GL2" s="11" t="s">
        <v>198</v>
      </c>
      <c r="GM2" s="11" t="s">
        <v>199</v>
      </c>
      <c r="GN2" s="11" t="s">
        <v>200</v>
      </c>
      <c r="GO2" s="11" t="s">
        <v>201</v>
      </c>
      <c r="GP2" s="11" t="s">
        <v>202</v>
      </c>
      <c r="GQ2" s="11" t="s">
        <v>203</v>
      </c>
      <c r="GR2" s="11" t="s">
        <v>204</v>
      </c>
      <c r="GS2" s="11" t="s">
        <v>205</v>
      </c>
      <c r="GT2" s="11" t="s">
        <v>206</v>
      </c>
      <c r="GU2" s="11" t="s">
        <v>207</v>
      </c>
      <c r="GV2" s="11" t="s">
        <v>208</v>
      </c>
      <c r="GW2" s="11" t="s">
        <v>209</v>
      </c>
      <c r="GX2" s="11" t="s">
        <v>210</v>
      </c>
      <c r="GY2" s="14" t="s">
        <v>211</v>
      </c>
      <c r="GZ2" s="11" t="s">
        <v>212</v>
      </c>
    </row>
    <row r="3" ht="22.5" customHeight="1">
      <c r="A3" s="15">
        <v>45913.99258719907</v>
      </c>
      <c r="B3" s="16" t="s">
        <v>213</v>
      </c>
      <c r="C3" s="17" t="s">
        <v>214</v>
      </c>
      <c r="D3" s="17" t="s">
        <v>215</v>
      </c>
      <c r="E3" s="18"/>
      <c r="F3" s="19" t="s">
        <v>216</v>
      </c>
      <c r="G3" s="17" t="s">
        <v>217</v>
      </c>
      <c r="H3" s="17">
        <v>7.5805223E7</v>
      </c>
      <c r="I3" s="17" t="s">
        <v>218</v>
      </c>
      <c r="J3" s="17" t="s">
        <v>219</v>
      </c>
      <c r="K3" s="17">
        <v>1.0559471E7</v>
      </c>
      <c r="L3" s="20" t="s">
        <v>220</v>
      </c>
      <c r="M3" s="17" t="s">
        <v>221</v>
      </c>
      <c r="N3" s="17" t="s">
        <v>222</v>
      </c>
      <c r="O3" s="21" t="s">
        <v>223</v>
      </c>
      <c r="P3" s="22" t="s">
        <v>224</v>
      </c>
      <c r="Q3" s="22" t="s">
        <v>225</v>
      </c>
      <c r="R3" s="17">
        <v>6.1143748E7</v>
      </c>
      <c r="S3" s="17" t="s">
        <v>226</v>
      </c>
      <c r="T3" s="23" t="s">
        <v>227</v>
      </c>
      <c r="U3" s="24" t="s">
        <v>228</v>
      </c>
      <c r="V3" s="17" t="s">
        <v>229</v>
      </c>
      <c r="W3" s="17" t="s">
        <v>230</v>
      </c>
      <c r="X3" s="25" t="s">
        <v>231</v>
      </c>
      <c r="Y3" s="17" t="s">
        <v>232</v>
      </c>
      <c r="Z3" s="26" t="s">
        <v>225</v>
      </c>
      <c r="AA3" s="17">
        <v>7.7798573E7</v>
      </c>
      <c r="AB3" s="17" t="s">
        <v>233</v>
      </c>
      <c r="AC3" s="23" t="s">
        <v>227</v>
      </c>
      <c r="AD3" s="24" t="s">
        <v>234</v>
      </c>
      <c r="AE3" s="17" t="s">
        <v>217</v>
      </c>
      <c r="AF3" s="17" t="s">
        <v>235</v>
      </c>
      <c r="AG3" s="27" t="s">
        <v>236</v>
      </c>
      <c r="AH3" s="17" t="s">
        <v>237</v>
      </c>
      <c r="AI3" s="28" t="s">
        <v>238</v>
      </c>
      <c r="AJ3" s="17">
        <v>7.5805223E7</v>
      </c>
      <c r="AK3" s="17" t="s">
        <v>219</v>
      </c>
      <c r="AL3" s="23" t="s">
        <v>227</v>
      </c>
      <c r="AM3" s="24" t="s">
        <v>239</v>
      </c>
      <c r="AN3" s="17" t="s">
        <v>240</v>
      </c>
      <c r="AO3" s="17" t="s">
        <v>241</v>
      </c>
      <c r="AP3" s="29" t="s">
        <v>242</v>
      </c>
      <c r="AQ3" s="28" t="s">
        <v>243</v>
      </c>
      <c r="AR3" s="22" t="s">
        <v>238</v>
      </c>
      <c r="AS3" s="17">
        <v>6.8991239E7</v>
      </c>
      <c r="AT3" s="17" t="s">
        <v>244</v>
      </c>
      <c r="AU3" s="23" t="s">
        <v>227</v>
      </c>
      <c r="AV3" s="24" t="s">
        <v>245</v>
      </c>
      <c r="AW3" s="17" t="s">
        <v>246</v>
      </c>
      <c r="AX3" s="17" t="s">
        <v>247</v>
      </c>
      <c r="AY3" s="30" t="s">
        <v>248</v>
      </c>
      <c r="AZ3" s="17" t="s">
        <v>249</v>
      </c>
      <c r="BA3" s="31" t="s">
        <v>238</v>
      </c>
      <c r="BB3" s="17">
        <v>6.7180812E7</v>
      </c>
      <c r="BC3" s="17" t="s">
        <v>250</v>
      </c>
      <c r="BD3" s="23" t="s">
        <v>227</v>
      </c>
      <c r="BE3" s="31" t="s">
        <v>251</v>
      </c>
      <c r="BF3" s="25" t="s">
        <v>252</v>
      </c>
      <c r="BG3" s="17" t="s">
        <v>218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32"/>
    </row>
    <row r="4" ht="22.5" customHeight="1">
      <c r="A4" s="33">
        <v>45914.68920270834</v>
      </c>
      <c r="B4" s="16" t="s">
        <v>253</v>
      </c>
      <c r="C4" s="34" t="s">
        <v>254</v>
      </c>
      <c r="D4" s="34" t="s">
        <v>215</v>
      </c>
      <c r="E4" s="35" t="s">
        <v>255</v>
      </c>
      <c r="F4" s="35" t="s">
        <v>256</v>
      </c>
      <c r="G4" s="34" t="s">
        <v>257</v>
      </c>
      <c r="H4" s="34">
        <v>6.9606514E7</v>
      </c>
      <c r="I4" s="34" t="s">
        <v>258</v>
      </c>
      <c r="J4" s="34" t="s">
        <v>259</v>
      </c>
      <c r="K4" s="34">
        <v>6686671.0</v>
      </c>
      <c r="L4" s="36" t="s">
        <v>260</v>
      </c>
      <c r="M4" s="34" t="s">
        <v>261</v>
      </c>
      <c r="N4" s="34" t="s">
        <v>262</v>
      </c>
      <c r="O4" s="37" t="s">
        <v>263</v>
      </c>
      <c r="P4" s="16" t="s">
        <v>264</v>
      </c>
      <c r="Q4" s="16" t="s">
        <v>238</v>
      </c>
      <c r="R4" s="34">
        <v>6.9606514E7</v>
      </c>
      <c r="S4" s="34" t="s">
        <v>265</v>
      </c>
      <c r="T4" s="38" t="s">
        <v>227</v>
      </c>
      <c r="U4" s="24" t="s">
        <v>266</v>
      </c>
      <c r="V4" s="34" t="s">
        <v>267</v>
      </c>
      <c r="W4" s="34" t="s">
        <v>268</v>
      </c>
      <c r="X4" s="37" t="s">
        <v>269</v>
      </c>
      <c r="Y4" s="16" t="s">
        <v>270</v>
      </c>
      <c r="Z4" s="16" t="s">
        <v>238</v>
      </c>
      <c r="AA4" s="34">
        <v>6.8424653E7</v>
      </c>
      <c r="AB4" s="34" t="s">
        <v>271</v>
      </c>
      <c r="AC4" s="38" t="s">
        <v>227</v>
      </c>
      <c r="AD4" s="24" t="s">
        <v>272</v>
      </c>
      <c r="AE4" s="34" t="s">
        <v>273</v>
      </c>
      <c r="AF4" s="34" t="s">
        <v>274</v>
      </c>
      <c r="AG4" s="37" t="s">
        <v>275</v>
      </c>
      <c r="AH4" s="16" t="s">
        <v>276</v>
      </c>
      <c r="AI4" s="16" t="s">
        <v>238</v>
      </c>
      <c r="AJ4" s="34">
        <v>7.1831636E7</v>
      </c>
      <c r="AK4" s="34" t="s">
        <v>277</v>
      </c>
      <c r="AL4" s="38" t="s">
        <v>227</v>
      </c>
      <c r="AM4" s="24" t="s">
        <v>278</v>
      </c>
      <c r="AN4" s="34" t="s">
        <v>279</v>
      </c>
      <c r="AO4" s="34" t="s">
        <v>280</v>
      </c>
      <c r="AP4" s="21" t="s">
        <v>281</v>
      </c>
      <c r="AQ4" s="39" t="s">
        <v>282</v>
      </c>
      <c r="AR4" s="39" t="s">
        <v>238</v>
      </c>
      <c r="AS4" s="34">
        <v>7.8638275E7</v>
      </c>
      <c r="AT4" s="34" t="s">
        <v>283</v>
      </c>
      <c r="AU4" s="38" t="s">
        <v>227</v>
      </c>
      <c r="AV4" s="40" t="s">
        <v>284</v>
      </c>
      <c r="AW4" s="34" t="s">
        <v>285</v>
      </c>
      <c r="AX4" s="34" t="s">
        <v>286</v>
      </c>
      <c r="AY4" s="37" t="s">
        <v>287</v>
      </c>
      <c r="AZ4" s="16" t="s">
        <v>288</v>
      </c>
      <c r="BA4" s="16" t="s">
        <v>238</v>
      </c>
      <c r="BB4" s="34">
        <v>6.1630095E7</v>
      </c>
      <c r="BC4" s="34" t="s">
        <v>289</v>
      </c>
      <c r="BD4" s="38" t="s">
        <v>227</v>
      </c>
      <c r="BE4" s="16" t="s">
        <v>290</v>
      </c>
      <c r="BF4" s="16" t="s">
        <v>291</v>
      </c>
      <c r="BG4" s="34" t="s">
        <v>292</v>
      </c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1"/>
      <c r="GX4" s="41"/>
      <c r="GY4" s="41"/>
    </row>
    <row r="5" ht="22.5" customHeight="1">
      <c r="A5" s="33">
        <v>45915.46752668981</v>
      </c>
      <c r="B5" s="16" t="s">
        <v>293</v>
      </c>
      <c r="C5" s="34" t="s">
        <v>294</v>
      </c>
      <c r="D5" s="34" t="s">
        <v>215</v>
      </c>
      <c r="E5" s="35" t="s">
        <v>295</v>
      </c>
      <c r="F5" s="35" t="s">
        <v>296</v>
      </c>
      <c r="G5" s="42" t="s">
        <v>297</v>
      </c>
      <c r="H5" s="42">
        <v>7.129936E7</v>
      </c>
      <c r="I5" s="34" t="s">
        <v>298</v>
      </c>
      <c r="J5" s="34" t="s">
        <v>299</v>
      </c>
      <c r="K5" s="34">
        <v>1.379752E7</v>
      </c>
      <c r="L5" s="20" t="s">
        <v>300</v>
      </c>
      <c r="M5" s="34" t="s">
        <v>301</v>
      </c>
      <c r="N5" s="34" t="s">
        <v>302</v>
      </c>
      <c r="O5" s="43" t="s">
        <v>303</v>
      </c>
      <c r="P5" s="44" t="s">
        <v>304</v>
      </c>
      <c r="Q5" s="39" t="s">
        <v>238</v>
      </c>
      <c r="R5" s="42">
        <v>7.7520202E7</v>
      </c>
      <c r="S5" s="34" t="s">
        <v>305</v>
      </c>
      <c r="T5" s="38" t="s">
        <v>227</v>
      </c>
      <c r="U5" s="16" t="s">
        <v>300</v>
      </c>
      <c r="V5" s="34" t="s">
        <v>306</v>
      </c>
      <c r="W5" s="34" t="s">
        <v>307</v>
      </c>
      <c r="X5" s="21" t="s">
        <v>308</v>
      </c>
      <c r="Y5" s="39" t="s">
        <v>309</v>
      </c>
      <c r="Z5" s="39" t="s">
        <v>238</v>
      </c>
      <c r="AA5" s="42">
        <v>7.129936E7</v>
      </c>
      <c r="AB5" s="34" t="s">
        <v>299</v>
      </c>
      <c r="AC5" s="38" t="s">
        <v>227</v>
      </c>
      <c r="AD5" s="16" t="s">
        <v>300</v>
      </c>
      <c r="AE5" s="34" t="s">
        <v>310</v>
      </c>
      <c r="AF5" s="34" t="s">
        <v>311</v>
      </c>
      <c r="AG5" s="45" t="s">
        <v>312</v>
      </c>
      <c r="AH5" s="16" t="s">
        <v>313</v>
      </c>
      <c r="AI5" s="16" t="s">
        <v>238</v>
      </c>
      <c r="AJ5" s="42">
        <v>7.7150403E7</v>
      </c>
      <c r="AK5" s="34" t="s">
        <v>314</v>
      </c>
      <c r="AL5" s="38" t="s">
        <v>227</v>
      </c>
      <c r="AM5" s="16" t="s">
        <v>220</v>
      </c>
      <c r="AN5" s="34" t="s">
        <v>315</v>
      </c>
      <c r="AO5" s="34" t="s">
        <v>316</v>
      </c>
      <c r="AP5" s="37" t="s">
        <v>317</v>
      </c>
      <c r="AQ5" s="16" t="s">
        <v>318</v>
      </c>
      <c r="AR5" s="16" t="s">
        <v>238</v>
      </c>
      <c r="AS5" s="42">
        <v>7.4460199E7</v>
      </c>
      <c r="AT5" s="34" t="s">
        <v>319</v>
      </c>
      <c r="AU5" s="38" t="s">
        <v>227</v>
      </c>
      <c r="AV5" s="40" t="s">
        <v>320</v>
      </c>
      <c r="AW5" s="34" t="s">
        <v>321</v>
      </c>
      <c r="AX5" s="34" t="s">
        <v>322</v>
      </c>
      <c r="AY5" s="21" t="s">
        <v>323</v>
      </c>
      <c r="AZ5" s="39" t="s">
        <v>324</v>
      </c>
      <c r="BA5" s="39" t="s">
        <v>238</v>
      </c>
      <c r="BB5" s="42">
        <v>7.2206046E7</v>
      </c>
      <c r="BC5" s="34" t="s">
        <v>325</v>
      </c>
      <c r="BD5" s="38" t="s">
        <v>227</v>
      </c>
      <c r="BE5" s="42" t="s">
        <v>326</v>
      </c>
      <c r="BF5" s="21" t="s">
        <v>327</v>
      </c>
      <c r="BG5" s="34" t="s">
        <v>298</v>
      </c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41"/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41"/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</row>
    <row r="6" ht="22.5" customHeight="1">
      <c r="A6" s="33">
        <v>45916.49252157407</v>
      </c>
      <c r="B6" s="46" t="s">
        <v>328</v>
      </c>
      <c r="C6" s="34" t="s">
        <v>329</v>
      </c>
      <c r="D6" s="34" t="s">
        <v>215</v>
      </c>
      <c r="E6" s="35" t="s">
        <v>330</v>
      </c>
      <c r="F6" s="47" t="s">
        <v>331</v>
      </c>
      <c r="G6" s="34" t="s">
        <v>332</v>
      </c>
      <c r="H6" s="34">
        <v>6.9494737E7</v>
      </c>
      <c r="I6" s="34" t="s">
        <v>333</v>
      </c>
      <c r="J6" s="34" t="s">
        <v>334</v>
      </c>
      <c r="K6" s="34">
        <v>5315744.0</v>
      </c>
      <c r="L6" s="48" t="s">
        <v>335</v>
      </c>
      <c r="M6" s="34" t="s">
        <v>336</v>
      </c>
      <c r="N6" s="34" t="s">
        <v>337</v>
      </c>
      <c r="O6" s="37" t="s">
        <v>338</v>
      </c>
      <c r="P6" s="16" t="s">
        <v>339</v>
      </c>
      <c r="Q6" s="16" t="s">
        <v>238</v>
      </c>
      <c r="R6" s="34">
        <v>7.783104E7</v>
      </c>
      <c r="S6" s="34" t="s">
        <v>340</v>
      </c>
      <c r="T6" s="38" t="s">
        <v>227</v>
      </c>
      <c r="U6" s="49" t="s">
        <v>341</v>
      </c>
      <c r="V6" s="34" t="s">
        <v>342</v>
      </c>
      <c r="W6" s="34" t="s">
        <v>343</v>
      </c>
      <c r="X6" s="30" t="s">
        <v>344</v>
      </c>
      <c r="Y6" s="34" t="s">
        <v>345</v>
      </c>
      <c r="Z6" s="16" t="s">
        <v>238</v>
      </c>
      <c r="AA6" s="34">
        <v>6.0722728E7</v>
      </c>
      <c r="AB6" s="34" t="s">
        <v>346</v>
      </c>
      <c r="AC6" s="38" t="s">
        <v>227</v>
      </c>
      <c r="AD6" s="49" t="s">
        <v>347</v>
      </c>
      <c r="AE6" s="34" t="s">
        <v>348</v>
      </c>
      <c r="AF6" s="34" t="s">
        <v>349</v>
      </c>
      <c r="AG6" s="37" t="s">
        <v>350</v>
      </c>
      <c r="AH6" s="16" t="s">
        <v>351</v>
      </c>
      <c r="AI6" s="16" t="s">
        <v>238</v>
      </c>
      <c r="AJ6" s="22" t="s">
        <v>352</v>
      </c>
      <c r="AK6" s="34" t="s">
        <v>353</v>
      </c>
      <c r="AL6" s="38" t="s">
        <v>227</v>
      </c>
      <c r="AM6" s="49" t="s">
        <v>354</v>
      </c>
      <c r="AN6" s="34" t="s">
        <v>355</v>
      </c>
      <c r="AO6" s="34" t="s">
        <v>356</v>
      </c>
      <c r="AP6" s="29" t="s">
        <v>357</v>
      </c>
      <c r="AQ6" s="16" t="s">
        <v>224</v>
      </c>
      <c r="AR6" s="16" t="s">
        <v>238</v>
      </c>
      <c r="AS6" s="34">
        <v>6.406661E7</v>
      </c>
      <c r="AT6" s="34" t="s">
        <v>358</v>
      </c>
      <c r="AU6" s="38" t="s">
        <v>227</v>
      </c>
      <c r="AV6" s="49" t="s">
        <v>359</v>
      </c>
      <c r="AW6" s="34" t="s">
        <v>360</v>
      </c>
      <c r="AX6" s="34" t="s">
        <v>361</v>
      </c>
      <c r="AY6" s="37" t="s">
        <v>362</v>
      </c>
      <c r="AZ6" s="16" t="s">
        <v>363</v>
      </c>
      <c r="BA6" s="16" t="s">
        <v>238</v>
      </c>
      <c r="BB6" s="34">
        <v>7.1705483E7</v>
      </c>
      <c r="BC6" s="34" t="s">
        <v>364</v>
      </c>
      <c r="BD6" s="38" t="s">
        <v>227</v>
      </c>
      <c r="BE6" s="16" t="s">
        <v>365</v>
      </c>
      <c r="BF6" s="22" t="s">
        <v>366</v>
      </c>
      <c r="BG6" s="34" t="s">
        <v>333</v>
      </c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</row>
    <row r="7" ht="22.5" customHeight="1">
      <c r="A7" s="33">
        <v>45916.92294790509</v>
      </c>
      <c r="B7" s="16" t="s">
        <v>367</v>
      </c>
      <c r="C7" s="34" t="s">
        <v>368</v>
      </c>
      <c r="D7" s="34" t="s">
        <v>225</v>
      </c>
      <c r="E7" s="35" t="s">
        <v>369</v>
      </c>
      <c r="G7" s="34" t="s">
        <v>370</v>
      </c>
      <c r="H7" s="34">
        <v>7.2065626E7</v>
      </c>
      <c r="I7" s="34" t="s">
        <v>371</v>
      </c>
      <c r="J7" s="34" t="s">
        <v>372</v>
      </c>
      <c r="K7" s="34">
        <v>6988841.0</v>
      </c>
      <c r="L7" s="20" t="s">
        <v>220</v>
      </c>
      <c r="M7" s="34" t="s">
        <v>373</v>
      </c>
      <c r="N7" s="34" t="s">
        <v>374</v>
      </c>
      <c r="O7" s="37" t="s">
        <v>375</v>
      </c>
      <c r="P7" s="16" t="s">
        <v>376</v>
      </c>
      <c r="Q7" s="16" t="s">
        <v>238</v>
      </c>
      <c r="R7" s="34">
        <v>7.8943368E7</v>
      </c>
      <c r="S7" s="34" t="s">
        <v>377</v>
      </c>
      <c r="T7" s="38" t="s">
        <v>227</v>
      </c>
      <c r="U7" s="16" t="s">
        <v>320</v>
      </c>
      <c r="V7" s="34" t="s">
        <v>370</v>
      </c>
      <c r="W7" s="34" t="s">
        <v>378</v>
      </c>
      <c r="X7" s="37" t="s">
        <v>379</v>
      </c>
      <c r="Y7" s="16" t="s">
        <v>249</v>
      </c>
      <c r="Z7" s="16" t="s">
        <v>238</v>
      </c>
      <c r="AA7" s="34">
        <v>7.2065626E7</v>
      </c>
      <c r="AB7" s="34" t="s">
        <v>372</v>
      </c>
      <c r="AC7" s="38" t="s">
        <v>227</v>
      </c>
      <c r="AD7" s="16" t="s">
        <v>380</v>
      </c>
      <c r="AE7" s="34" t="s">
        <v>381</v>
      </c>
      <c r="AF7" s="34" t="s">
        <v>382</v>
      </c>
      <c r="AG7" s="37" t="s">
        <v>383</v>
      </c>
      <c r="AH7" s="16" t="s">
        <v>384</v>
      </c>
      <c r="AI7" s="16" t="s">
        <v>238</v>
      </c>
      <c r="AJ7" s="34">
        <v>6.5675547E7</v>
      </c>
      <c r="AK7" s="34" t="s">
        <v>385</v>
      </c>
      <c r="AL7" s="38" t="s">
        <v>227</v>
      </c>
      <c r="AM7" s="16" t="s">
        <v>380</v>
      </c>
      <c r="AN7" s="34" t="s">
        <v>386</v>
      </c>
      <c r="AO7" s="34" t="s">
        <v>387</v>
      </c>
      <c r="AP7" s="37" t="s">
        <v>388</v>
      </c>
      <c r="AQ7" s="16" t="s">
        <v>232</v>
      </c>
      <c r="AR7" s="16" t="s">
        <v>238</v>
      </c>
      <c r="AS7" s="34">
        <v>6.418246E7</v>
      </c>
      <c r="AT7" s="34" t="s">
        <v>389</v>
      </c>
      <c r="AU7" s="38" t="s">
        <v>227</v>
      </c>
      <c r="AV7" s="40" t="s">
        <v>300</v>
      </c>
      <c r="AW7" s="34" t="s">
        <v>390</v>
      </c>
      <c r="AX7" s="34" t="s">
        <v>391</v>
      </c>
      <c r="AY7" s="37" t="s">
        <v>392</v>
      </c>
      <c r="AZ7" s="16" t="s">
        <v>393</v>
      </c>
      <c r="BA7" s="16" t="s">
        <v>238</v>
      </c>
      <c r="BB7" s="34">
        <v>7.8795912E7</v>
      </c>
      <c r="BC7" s="34" t="s">
        <v>394</v>
      </c>
      <c r="BD7" s="38" t="s">
        <v>227</v>
      </c>
      <c r="BE7" s="40" t="s">
        <v>395</v>
      </c>
      <c r="BF7" s="50" t="s">
        <v>396</v>
      </c>
      <c r="BG7" s="34" t="s">
        <v>371</v>
      </c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</row>
    <row r="8" ht="22.5" customHeight="1">
      <c r="A8" s="33">
        <v>45918.63065997685</v>
      </c>
      <c r="B8" s="16" t="s">
        <v>397</v>
      </c>
      <c r="C8" s="34" t="s">
        <v>398</v>
      </c>
      <c r="D8" s="34" t="s">
        <v>215</v>
      </c>
      <c r="E8" s="35" t="s">
        <v>399</v>
      </c>
      <c r="F8" s="35" t="s">
        <v>400</v>
      </c>
      <c r="G8" s="34" t="s">
        <v>401</v>
      </c>
      <c r="H8" s="51">
        <v>7.0566377E7</v>
      </c>
      <c r="I8" s="34" t="s">
        <v>402</v>
      </c>
      <c r="J8" s="34" t="s">
        <v>403</v>
      </c>
      <c r="K8" s="34">
        <v>6746809.0</v>
      </c>
      <c r="L8" s="20" t="s">
        <v>404</v>
      </c>
      <c r="M8" s="34" t="s">
        <v>405</v>
      </c>
      <c r="N8" s="34" t="s">
        <v>406</v>
      </c>
      <c r="O8" s="29" t="s">
        <v>407</v>
      </c>
      <c r="P8" s="22" t="s">
        <v>408</v>
      </c>
      <c r="Q8" s="22" t="s">
        <v>225</v>
      </c>
      <c r="R8" s="34">
        <v>7.6546402E7</v>
      </c>
      <c r="S8" s="34" t="s">
        <v>409</v>
      </c>
      <c r="T8" s="38" t="s">
        <v>227</v>
      </c>
      <c r="U8" s="16" t="s">
        <v>380</v>
      </c>
      <c r="V8" s="34" t="s">
        <v>410</v>
      </c>
      <c r="W8" s="34" t="s">
        <v>411</v>
      </c>
      <c r="X8" s="29" t="s">
        <v>412</v>
      </c>
      <c r="Y8" s="39" t="s">
        <v>413</v>
      </c>
      <c r="Z8" s="22" t="s">
        <v>225</v>
      </c>
      <c r="AA8" s="34">
        <v>6.2536058E7</v>
      </c>
      <c r="AB8" s="34" t="s">
        <v>414</v>
      </c>
      <c r="AC8" s="38" t="s">
        <v>227</v>
      </c>
      <c r="AD8" s="16" t="s">
        <v>320</v>
      </c>
      <c r="AE8" s="34" t="s">
        <v>401</v>
      </c>
      <c r="AF8" s="34" t="s">
        <v>415</v>
      </c>
      <c r="AG8" s="29" t="s">
        <v>416</v>
      </c>
      <c r="AH8" s="22" t="s">
        <v>417</v>
      </c>
      <c r="AI8" s="22" t="s">
        <v>225</v>
      </c>
      <c r="AJ8" s="34">
        <v>7.0566377E7</v>
      </c>
      <c r="AK8" s="34" t="s">
        <v>403</v>
      </c>
      <c r="AL8" s="38" t="s">
        <v>227</v>
      </c>
      <c r="AM8" s="16" t="s">
        <v>284</v>
      </c>
      <c r="AN8" s="34" t="s">
        <v>418</v>
      </c>
      <c r="AO8" s="34" t="s">
        <v>419</v>
      </c>
      <c r="AP8" s="37" t="s">
        <v>420</v>
      </c>
      <c r="AQ8" s="16" t="s">
        <v>421</v>
      </c>
      <c r="AR8" s="16" t="s">
        <v>238</v>
      </c>
      <c r="AS8" s="34">
        <v>7.7301405E7</v>
      </c>
      <c r="AT8" s="34" t="s">
        <v>422</v>
      </c>
      <c r="AU8" s="38" t="s">
        <v>227</v>
      </c>
      <c r="AV8" s="40" t="s">
        <v>380</v>
      </c>
      <c r="AW8" s="34" t="s">
        <v>423</v>
      </c>
      <c r="AX8" s="34" t="s">
        <v>424</v>
      </c>
      <c r="AY8" s="21" t="s">
        <v>425</v>
      </c>
      <c r="AZ8" s="39" t="s">
        <v>426</v>
      </c>
      <c r="BA8" s="22" t="s">
        <v>225</v>
      </c>
      <c r="BB8" s="34">
        <v>7.6244293E7</v>
      </c>
      <c r="BC8" s="34" t="s">
        <v>427</v>
      </c>
      <c r="BD8" s="38" t="s">
        <v>227</v>
      </c>
      <c r="BE8" s="49" t="s">
        <v>428</v>
      </c>
      <c r="BF8" s="35" t="s">
        <v>429</v>
      </c>
      <c r="BG8" s="34" t="s">
        <v>402</v>
      </c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</row>
    <row r="9" ht="22.5" customHeight="1">
      <c r="A9" s="33">
        <v>45920.065997592596</v>
      </c>
      <c r="B9" s="16" t="s">
        <v>430</v>
      </c>
      <c r="C9" s="34" t="s">
        <v>431</v>
      </c>
      <c r="D9" s="34" t="s">
        <v>215</v>
      </c>
      <c r="E9" s="35" t="s">
        <v>432</v>
      </c>
      <c r="F9" s="35" t="s">
        <v>433</v>
      </c>
      <c r="G9" s="34" t="s">
        <v>434</v>
      </c>
      <c r="H9" s="34">
        <v>7.8683003E7</v>
      </c>
      <c r="I9" s="34" t="s">
        <v>435</v>
      </c>
      <c r="J9" s="34" t="s">
        <v>436</v>
      </c>
      <c r="K9" s="34" t="s">
        <v>437</v>
      </c>
      <c r="L9" s="36" t="s">
        <v>438</v>
      </c>
      <c r="M9" s="34" t="s">
        <v>439</v>
      </c>
      <c r="N9" s="34" t="s">
        <v>440</v>
      </c>
      <c r="O9" s="29" t="s">
        <v>441</v>
      </c>
      <c r="P9" s="39" t="s">
        <v>442</v>
      </c>
      <c r="Q9" s="22" t="s">
        <v>225</v>
      </c>
      <c r="R9" s="34">
        <v>6.9864424E7</v>
      </c>
      <c r="S9" s="34" t="s">
        <v>443</v>
      </c>
      <c r="T9" s="38" t="s">
        <v>227</v>
      </c>
      <c r="U9" s="24" t="s">
        <v>228</v>
      </c>
      <c r="V9" s="34" t="s">
        <v>444</v>
      </c>
      <c r="W9" s="34" t="s">
        <v>445</v>
      </c>
      <c r="X9" s="29" t="s">
        <v>446</v>
      </c>
      <c r="Y9" s="39" t="s">
        <v>447</v>
      </c>
      <c r="Z9" s="39" t="s">
        <v>238</v>
      </c>
      <c r="AA9" s="34">
        <v>6.3769992E7</v>
      </c>
      <c r="AB9" s="34" t="s">
        <v>448</v>
      </c>
      <c r="AC9" s="38" t="s">
        <v>227</v>
      </c>
      <c r="AD9" s="24" t="s">
        <v>449</v>
      </c>
      <c r="AE9" s="34" t="s">
        <v>450</v>
      </c>
      <c r="AF9" s="34" t="s">
        <v>451</v>
      </c>
      <c r="AG9" s="37" t="s">
        <v>452</v>
      </c>
      <c r="AH9" s="16" t="s">
        <v>453</v>
      </c>
      <c r="AI9" s="16" t="s">
        <v>238</v>
      </c>
      <c r="AJ9" s="52">
        <v>7.7388109E7</v>
      </c>
      <c r="AK9" s="34" t="s">
        <v>454</v>
      </c>
      <c r="AL9" s="38" t="s">
        <v>227</v>
      </c>
      <c r="AM9" s="16" t="s">
        <v>380</v>
      </c>
      <c r="AN9" s="34" t="s">
        <v>434</v>
      </c>
      <c r="AO9" s="34" t="s">
        <v>455</v>
      </c>
      <c r="AP9" s="37" t="s">
        <v>456</v>
      </c>
      <c r="AQ9" s="16" t="s">
        <v>457</v>
      </c>
      <c r="AR9" s="16" t="s">
        <v>238</v>
      </c>
      <c r="AS9" s="34">
        <v>7.8683003E7</v>
      </c>
      <c r="AT9" s="34" t="s">
        <v>436</v>
      </c>
      <c r="AU9" s="38" t="s">
        <v>227</v>
      </c>
      <c r="AV9" s="53"/>
      <c r="AW9" s="34" t="s">
        <v>458</v>
      </c>
      <c r="AX9" s="34" t="s">
        <v>459</v>
      </c>
      <c r="AY9" s="29" t="s">
        <v>460</v>
      </c>
      <c r="AZ9" s="39" t="s">
        <v>461</v>
      </c>
      <c r="BA9" s="39" t="s">
        <v>238</v>
      </c>
      <c r="BB9" s="34">
        <v>7.5633474E7</v>
      </c>
      <c r="BC9" s="34" t="s">
        <v>462</v>
      </c>
      <c r="BD9" s="38" t="s">
        <v>227</v>
      </c>
      <c r="BG9" s="34" t="s">
        <v>463</v>
      </c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</row>
    <row r="10" ht="22.5" customHeight="1">
      <c r="A10" s="33">
        <v>45920.74600987269</v>
      </c>
      <c r="B10" s="16" t="s">
        <v>464</v>
      </c>
      <c r="C10" s="34" t="s">
        <v>465</v>
      </c>
      <c r="D10" s="34" t="s">
        <v>225</v>
      </c>
      <c r="E10" s="35" t="s">
        <v>466</v>
      </c>
      <c r="G10" s="34" t="s">
        <v>467</v>
      </c>
      <c r="H10" s="34">
        <v>7.4259216E7</v>
      </c>
      <c r="I10" s="34" t="s">
        <v>468</v>
      </c>
      <c r="J10" s="34" t="s">
        <v>469</v>
      </c>
      <c r="K10" s="34">
        <v>1.4486424E7</v>
      </c>
      <c r="L10" s="48" t="s">
        <v>335</v>
      </c>
      <c r="M10" s="34" t="s">
        <v>470</v>
      </c>
      <c r="N10" s="34" t="s">
        <v>471</v>
      </c>
      <c r="O10" s="21" t="s">
        <v>472</v>
      </c>
      <c r="P10" s="28" t="s">
        <v>473</v>
      </c>
      <c r="Q10" s="28" t="s">
        <v>238</v>
      </c>
      <c r="R10" s="34">
        <v>6.9791594E7</v>
      </c>
      <c r="S10" s="34" t="s">
        <v>474</v>
      </c>
      <c r="T10" s="38" t="s">
        <v>227</v>
      </c>
      <c r="U10" s="49" t="s">
        <v>475</v>
      </c>
      <c r="V10" s="34" t="s">
        <v>476</v>
      </c>
      <c r="W10" s="34" t="s">
        <v>477</v>
      </c>
      <c r="X10" s="37" t="s">
        <v>478</v>
      </c>
      <c r="Y10" s="16" t="s">
        <v>479</v>
      </c>
      <c r="Z10" s="16" t="s">
        <v>238</v>
      </c>
      <c r="AA10" s="34">
        <v>6.5298021E7</v>
      </c>
      <c r="AB10" s="34" t="s">
        <v>480</v>
      </c>
      <c r="AC10" s="38" t="s">
        <v>227</v>
      </c>
      <c r="AD10" s="49" t="s">
        <v>347</v>
      </c>
      <c r="AE10" s="34" t="s">
        <v>467</v>
      </c>
      <c r="AF10" s="34" t="s">
        <v>481</v>
      </c>
      <c r="AG10" s="37" t="s">
        <v>482</v>
      </c>
      <c r="AH10" s="16" t="s">
        <v>483</v>
      </c>
      <c r="AI10" s="16" t="s">
        <v>238</v>
      </c>
      <c r="AJ10" s="34">
        <v>7.4259216E7</v>
      </c>
      <c r="AK10" s="34" t="s">
        <v>469</v>
      </c>
      <c r="AL10" s="38" t="s">
        <v>227</v>
      </c>
      <c r="AM10" s="49" t="s">
        <v>354</v>
      </c>
      <c r="AN10" s="34" t="s">
        <v>484</v>
      </c>
      <c r="AO10" s="34" t="s">
        <v>485</v>
      </c>
      <c r="AP10" s="37" t="s">
        <v>486</v>
      </c>
      <c r="AQ10" s="16" t="s">
        <v>487</v>
      </c>
      <c r="AR10" s="16" t="s">
        <v>238</v>
      </c>
      <c r="AS10" s="34">
        <v>6.0200629E7</v>
      </c>
      <c r="AT10" s="34" t="s">
        <v>488</v>
      </c>
      <c r="AU10" s="38" t="s">
        <v>227</v>
      </c>
      <c r="AV10" s="49" t="s">
        <v>359</v>
      </c>
      <c r="AW10" s="34" t="s">
        <v>489</v>
      </c>
      <c r="AX10" s="34" t="s">
        <v>490</v>
      </c>
      <c r="AY10" s="27" t="s">
        <v>491</v>
      </c>
      <c r="AZ10" s="28" t="s">
        <v>492</v>
      </c>
      <c r="BA10" s="28" t="s">
        <v>238</v>
      </c>
      <c r="BB10" s="34">
        <v>6.2489186E7</v>
      </c>
      <c r="BC10" s="34" t="s">
        <v>490</v>
      </c>
      <c r="BD10" s="38" t="s">
        <v>227</v>
      </c>
      <c r="BE10" s="40" t="s">
        <v>493</v>
      </c>
      <c r="BF10" s="35" t="s">
        <v>494</v>
      </c>
      <c r="BG10" s="34" t="s">
        <v>495</v>
      </c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</row>
    <row r="11" ht="22.5" customHeight="1">
      <c r="A11" s="33">
        <v>45920.80052496528</v>
      </c>
      <c r="B11" s="52" t="s">
        <v>293</v>
      </c>
      <c r="C11" s="34" t="s">
        <v>294</v>
      </c>
      <c r="D11" s="34" t="s">
        <v>215</v>
      </c>
      <c r="E11" s="35" t="s">
        <v>496</v>
      </c>
      <c r="F11" s="35" t="s">
        <v>497</v>
      </c>
      <c r="G11" s="42" t="s">
        <v>306</v>
      </c>
      <c r="H11" s="42">
        <v>7.129936E7</v>
      </c>
      <c r="I11" s="34" t="s">
        <v>298</v>
      </c>
      <c r="J11" s="34" t="s">
        <v>299</v>
      </c>
      <c r="K11" s="34">
        <v>1.379752E7</v>
      </c>
      <c r="L11" s="20" t="s">
        <v>300</v>
      </c>
      <c r="M11" s="34" t="s">
        <v>498</v>
      </c>
      <c r="N11" s="34" t="s">
        <v>302</v>
      </c>
      <c r="O11" s="54" t="s">
        <v>303</v>
      </c>
      <c r="P11" s="44" t="s">
        <v>499</v>
      </c>
      <c r="Q11" s="44" t="s">
        <v>238</v>
      </c>
      <c r="R11" s="42">
        <v>7.7520202E7</v>
      </c>
      <c r="S11" s="34" t="s">
        <v>305</v>
      </c>
      <c r="T11" s="38" t="s">
        <v>227</v>
      </c>
      <c r="U11" s="16" t="s">
        <v>300</v>
      </c>
      <c r="V11" s="34" t="s">
        <v>306</v>
      </c>
      <c r="W11" s="34" t="s">
        <v>500</v>
      </c>
      <c r="X11" s="25" t="s">
        <v>308</v>
      </c>
      <c r="Y11" s="26" t="s">
        <v>501</v>
      </c>
      <c r="Z11" s="26" t="s">
        <v>238</v>
      </c>
      <c r="AA11" s="42">
        <v>7.129936E7</v>
      </c>
      <c r="AB11" s="34" t="s">
        <v>299</v>
      </c>
      <c r="AC11" s="38" t="s">
        <v>227</v>
      </c>
      <c r="AD11" s="16" t="s">
        <v>300</v>
      </c>
      <c r="AE11" s="34" t="s">
        <v>310</v>
      </c>
      <c r="AF11" s="34" t="s">
        <v>311</v>
      </c>
      <c r="AG11" s="34" t="s">
        <v>312</v>
      </c>
      <c r="AH11" s="34" t="s">
        <v>502</v>
      </c>
      <c r="AI11" s="34" t="s">
        <v>238</v>
      </c>
      <c r="AJ11" s="42">
        <v>7.7150403E7</v>
      </c>
      <c r="AK11" s="34" t="s">
        <v>314</v>
      </c>
      <c r="AL11" s="38" t="s">
        <v>227</v>
      </c>
      <c r="AM11" s="16" t="s">
        <v>220</v>
      </c>
      <c r="AN11" s="34" t="s">
        <v>321</v>
      </c>
      <c r="AO11" s="34" t="s">
        <v>322</v>
      </c>
      <c r="AP11" s="34" t="s">
        <v>321</v>
      </c>
      <c r="AQ11" s="34" t="s">
        <v>503</v>
      </c>
      <c r="AR11" s="34" t="s">
        <v>238</v>
      </c>
      <c r="AS11" s="42">
        <v>7.2206046E7</v>
      </c>
      <c r="AT11" s="34" t="s">
        <v>504</v>
      </c>
      <c r="AU11" s="38" t="s">
        <v>227</v>
      </c>
      <c r="AV11" s="40" t="s">
        <v>320</v>
      </c>
      <c r="AW11" s="34" t="s">
        <v>315</v>
      </c>
      <c r="AX11" s="34" t="s">
        <v>505</v>
      </c>
      <c r="AY11" s="21" t="s">
        <v>506</v>
      </c>
      <c r="AZ11" s="34" t="s">
        <v>507</v>
      </c>
      <c r="BA11" s="34" t="s">
        <v>238</v>
      </c>
      <c r="BB11" s="42">
        <v>7.4460199E7</v>
      </c>
      <c r="BC11" s="34" t="s">
        <v>508</v>
      </c>
      <c r="BD11" s="38" t="s">
        <v>227</v>
      </c>
      <c r="BE11" s="42" t="s">
        <v>509</v>
      </c>
      <c r="BF11" s="35" t="s">
        <v>510</v>
      </c>
      <c r="BG11" s="34" t="s">
        <v>298</v>
      </c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</row>
    <row r="12" ht="22.5" customHeight="1">
      <c r="A12" s="33">
        <v>45920.97071502315</v>
      </c>
      <c r="B12" s="16" t="s">
        <v>511</v>
      </c>
      <c r="C12" s="34" t="s">
        <v>512</v>
      </c>
      <c r="D12" s="34" t="s">
        <v>215</v>
      </c>
      <c r="E12" s="35" t="s">
        <v>513</v>
      </c>
      <c r="F12" s="35" t="s">
        <v>514</v>
      </c>
      <c r="G12" s="34" t="s">
        <v>515</v>
      </c>
      <c r="H12" s="34">
        <v>7.3803108E7</v>
      </c>
      <c r="I12" s="34" t="s">
        <v>516</v>
      </c>
      <c r="J12" s="34" t="s">
        <v>517</v>
      </c>
      <c r="K12" s="34">
        <v>7333923.0</v>
      </c>
      <c r="L12" s="20" t="s">
        <v>284</v>
      </c>
      <c r="M12" s="34" t="s">
        <v>518</v>
      </c>
      <c r="N12" s="34" t="s">
        <v>519</v>
      </c>
      <c r="O12" s="37" t="s">
        <v>520</v>
      </c>
      <c r="P12" s="16" t="s">
        <v>521</v>
      </c>
      <c r="Q12" s="16" t="s">
        <v>238</v>
      </c>
      <c r="R12" s="34" t="s">
        <v>522</v>
      </c>
      <c r="S12" s="34" t="s">
        <v>523</v>
      </c>
      <c r="T12" s="38" t="s">
        <v>227</v>
      </c>
      <c r="U12" s="16" t="s">
        <v>380</v>
      </c>
      <c r="V12" s="34" t="s">
        <v>524</v>
      </c>
      <c r="W12" s="34" t="s">
        <v>525</v>
      </c>
      <c r="X12" s="37" t="s">
        <v>526</v>
      </c>
      <c r="Y12" s="16" t="s">
        <v>527</v>
      </c>
      <c r="Z12" s="16" t="s">
        <v>238</v>
      </c>
      <c r="AA12" s="34" t="s">
        <v>528</v>
      </c>
      <c r="AB12" s="34" t="s">
        <v>529</v>
      </c>
      <c r="AC12" s="38" t="s">
        <v>227</v>
      </c>
      <c r="AD12" s="24" t="s">
        <v>449</v>
      </c>
      <c r="AE12" s="34" t="s">
        <v>530</v>
      </c>
      <c r="AF12" s="34" t="s">
        <v>531</v>
      </c>
      <c r="AG12" s="29" t="s">
        <v>532</v>
      </c>
      <c r="AH12" s="39" t="s">
        <v>533</v>
      </c>
      <c r="AI12" s="39" t="s">
        <v>238</v>
      </c>
      <c r="AJ12" s="52" t="s">
        <v>534</v>
      </c>
      <c r="AK12" s="34" t="s">
        <v>454</v>
      </c>
      <c r="AL12" s="38" t="s">
        <v>227</v>
      </c>
      <c r="AM12" s="24" t="s">
        <v>535</v>
      </c>
      <c r="AN12" s="34" t="s">
        <v>536</v>
      </c>
      <c r="AO12" s="34" t="s">
        <v>537</v>
      </c>
      <c r="AP12" s="37" t="s">
        <v>538</v>
      </c>
      <c r="AQ12" s="16" t="s">
        <v>539</v>
      </c>
      <c r="AR12" s="16" t="s">
        <v>238</v>
      </c>
      <c r="AS12" s="34" t="s">
        <v>540</v>
      </c>
      <c r="AT12" s="34" t="s">
        <v>541</v>
      </c>
      <c r="AU12" s="38" t="s">
        <v>227</v>
      </c>
      <c r="AV12" s="24" t="s">
        <v>278</v>
      </c>
      <c r="AW12" s="34" t="s">
        <v>542</v>
      </c>
      <c r="AX12" s="34" t="s">
        <v>543</v>
      </c>
      <c r="AY12" s="21" t="s">
        <v>544</v>
      </c>
      <c r="AZ12" s="40" t="s">
        <v>545</v>
      </c>
      <c r="BA12" s="40" t="s">
        <v>238</v>
      </c>
      <c r="BB12" s="34" t="s">
        <v>546</v>
      </c>
      <c r="BC12" s="34" t="s">
        <v>547</v>
      </c>
      <c r="BD12" s="38" t="s">
        <v>227</v>
      </c>
      <c r="BE12" s="16" t="s">
        <v>548</v>
      </c>
      <c r="BF12" s="35" t="s">
        <v>549</v>
      </c>
      <c r="BG12" s="34" t="s">
        <v>516</v>
      </c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</row>
    <row r="13" ht="22.5" customHeight="1">
      <c r="A13" s="33">
        <v>45920.98107971065</v>
      </c>
      <c r="B13" s="16" t="s">
        <v>550</v>
      </c>
      <c r="C13" s="34" t="s">
        <v>551</v>
      </c>
      <c r="D13" s="34" t="s">
        <v>215</v>
      </c>
      <c r="E13" s="35" t="s">
        <v>552</v>
      </c>
      <c r="F13" s="35" t="s">
        <v>553</v>
      </c>
      <c r="G13" s="34" t="s">
        <v>554</v>
      </c>
      <c r="H13" s="34">
        <v>6.9894808E7</v>
      </c>
      <c r="I13" s="34" t="s">
        <v>555</v>
      </c>
      <c r="J13" s="34" t="s">
        <v>556</v>
      </c>
      <c r="K13" s="34">
        <v>1.054351E7</v>
      </c>
      <c r="L13" s="20" t="s">
        <v>404</v>
      </c>
      <c r="M13" s="34" t="s">
        <v>554</v>
      </c>
      <c r="N13" s="34" t="s">
        <v>557</v>
      </c>
      <c r="O13" s="29" t="s">
        <v>558</v>
      </c>
      <c r="P13" s="39" t="s">
        <v>559</v>
      </c>
      <c r="Q13" s="55" t="s">
        <v>238</v>
      </c>
      <c r="R13" s="34">
        <v>6.9894808E7</v>
      </c>
      <c r="S13" s="34" t="s">
        <v>560</v>
      </c>
      <c r="T13" s="38" t="s">
        <v>227</v>
      </c>
      <c r="U13" s="16" t="s">
        <v>320</v>
      </c>
      <c r="V13" s="34" t="s">
        <v>561</v>
      </c>
      <c r="W13" s="34" t="s">
        <v>562</v>
      </c>
      <c r="X13" s="37" t="s">
        <v>563</v>
      </c>
      <c r="Y13" s="16" t="s">
        <v>564</v>
      </c>
      <c r="Z13" s="16" t="s">
        <v>238</v>
      </c>
      <c r="AA13" s="34">
        <v>6.9894808E7</v>
      </c>
      <c r="AB13" s="34" t="s">
        <v>565</v>
      </c>
      <c r="AC13" s="38" t="s">
        <v>227</v>
      </c>
      <c r="AD13" s="16" t="s">
        <v>380</v>
      </c>
      <c r="AE13" s="34" t="s">
        <v>566</v>
      </c>
      <c r="AF13" s="34" t="s">
        <v>567</v>
      </c>
      <c r="AG13" s="30" t="s">
        <v>568</v>
      </c>
      <c r="AH13" s="31" t="s">
        <v>569</v>
      </c>
      <c r="AI13" s="31" t="s">
        <v>238</v>
      </c>
      <c r="AJ13" s="34">
        <v>7.0548174E7</v>
      </c>
      <c r="AK13" s="34" t="s">
        <v>570</v>
      </c>
      <c r="AL13" s="38" t="s">
        <v>227</v>
      </c>
      <c r="AM13" s="16" t="s">
        <v>220</v>
      </c>
      <c r="AN13" s="34" t="s">
        <v>571</v>
      </c>
      <c r="AO13" s="34" t="s">
        <v>572</v>
      </c>
      <c r="AP13" s="37" t="s">
        <v>573</v>
      </c>
      <c r="AQ13" s="16" t="s">
        <v>574</v>
      </c>
      <c r="AR13" s="16" t="s">
        <v>238</v>
      </c>
      <c r="AS13" s="34">
        <v>6.1110403E7</v>
      </c>
      <c r="AT13" s="34" t="s">
        <v>575</v>
      </c>
      <c r="AU13" s="38" t="s">
        <v>227</v>
      </c>
      <c r="AV13" s="40" t="s">
        <v>284</v>
      </c>
      <c r="AW13" s="34" t="s">
        <v>576</v>
      </c>
      <c r="AX13" s="34" t="s">
        <v>577</v>
      </c>
      <c r="AY13" s="56"/>
      <c r="AZ13" s="31" t="s">
        <v>578</v>
      </c>
      <c r="BA13" s="31" t="s">
        <v>225</v>
      </c>
      <c r="BB13" s="34">
        <v>6.411958E7</v>
      </c>
      <c r="BC13" s="34" t="s">
        <v>579</v>
      </c>
      <c r="BD13" s="38" t="s">
        <v>227</v>
      </c>
      <c r="BE13" s="34" t="s">
        <v>580</v>
      </c>
      <c r="BF13" s="34" t="s">
        <v>580</v>
      </c>
      <c r="BG13" s="34" t="s">
        <v>581</v>
      </c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</row>
    <row r="14" ht="22.5" customHeight="1">
      <c r="A14" s="33">
        <v>45920.98495642361</v>
      </c>
      <c r="B14" s="16" t="s">
        <v>582</v>
      </c>
      <c r="C14" s="34" t="s">
        <v>583</v>
      </c>
      <c r="D14" s="34" t="s">
        <v>215</v>
      </c>
      <c r="E14" s="35" t="s">
        <v>584</v>
      </c>
      <c r="F14" s="35" t="s">
        <v>585</v>
      </c>
      <c r="G14" s="34" t="s">
        <v>586</v>
      </c>
      <c r="H14" s="34">
        <v>7.4440079E7</v>
      </c>
      <c r="I14" s="34" t="s">
        <v>587</v>
      </c>
      <c r="J14" s="34" t="s">
        <v>588</v>
      </c>
      <c r="K14" s="34">
        <v>1.3412017E7</v>
      </c>
      <c r="L14" s="20" t="s">
        <v>284</v>
      </c>
      <c r="M14" s="34" t="s">
        <v>589</v>
      </c>
      <c r="N14" s="34" t="s">
        <v>590</v>
      </c>
      <c r="O14" s="29" t="s">
        <v>591</v>
      </c>
      <c r="P14" s="39" t="s">
        <v>592</v>
      </c>
      <c r="Q14" s="22" t="s">
        <v>225</v>
      </c>
      <c r="R14" s="34">
        <v>6.3258509E7</v>
      </c>
      <c r="S14" s="34" t="s">
        <v>593</v>
      </c>
      <c r="T14" s="38" t="s">
        <v>227</v>
      </c>
      <c r="U14" s="16" t="s">
        <v>284</v>
      </c>
      <c r="V14" s="34" t="s">
        <v>594</v>
      </c>
      <c r="W14" s="34" t="s">
        <v>595</v>
      </c>
      <c r="X14" s="37" t="s">
        <v>596</v>
      </c>
      <c r="Y14" s="16" t="s">
        <v>597</v>
      </c>
      <c r="Z14" s="16" t="s">
        <v>238</v>
      </c>
      <c r="AA14" s="34">
        <v>7.2777423E7</v>
      </c>
      <c r="AC14" s="38" t="s">
        <v>227</v>
      </c>
      <c r="AD14" s="16" t="s">
        <v>380</v>
      </c>
      <c r="AE14" s="34" t="s">
        <v>598</v>
      </c>
      <c r="AF14" s="34" t="s">
        <v>599</v>
      </c>
      <c r="AG14" s="37" t="s">
        <v>600</v>
      </c>
      <c r="AH14" s="16" t="s">
        <v>601</v>
      </c>
      <c r="AI14" s="16" t="s">
        <v>238</v>
      </c>
      <c r="AJ14" s="34">
        <v>7.4631252E7</v>
      </c>
      <c r="AK14" s="34" t="s">
        <v>602</v>
      </c>
      <c r="AL14" s="38" t="s">
        <v>227</v>
      </c>
      <c r="AM14" s="16" t="s">
        <v>404</v>
      </c>
      <c r="AN14" s="34" t="s">
        <v>586</v>
      </c>
      <c r="AO14" s="34" t="s">
        <v>603</v>
      </c>
      <c r="AP14" s="37" t="s">
        <v>604</v>
      </c>
      <c r="AQ14" s="16" t="s">
        <v>605</v>
      </c>
      <c r="AR14" s="16" t="s">
        <v>238</v>
      </c>
      <c r="AS14" s="34">
        <v>7.4440079E7</v>
      </c>
      <c r="AT14" s="34" t="s">
        <v>588</v>
      </c>
      <c r="AU14" s="38" t="s">
        <v>227</v>
      </c>
      <c r="AV14" s="40" t="s">
        <v>404</v>
      </c>
      <c r="AW14" s="34" t="s">
        <v>606</v>
      </c>
      <c r="AX14" s="34" t="s">
        <v>607</v>
      </c>
      <c r="AY14" s="57" t="s">
        <v>608</v>
      </c>
      <c r="AZ14" s="58"/>
      <c r="BA14" s="22" t="s">
        <v>225</v>
      </c>
      <c r="BB14" s="34">
        <v>6.7074109E7</v>
      </c>
      <c r="BC14" s="34" t="s">
        <v>609</v>
      </c>
      <c r="BD14" s="38" t="s">
        <v>227</v>
      </c>
      <c r="BE14" s="40" t="s">
        <v>610</v>
      </c>
      <c r="BF14" s="34" t="s">
        <v>611</v>
      </c>
      <c r="BG14" s="34" t="s">
        <v>587</v>
      </c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</row>
    <row r="15" ht="22.5" customHeight="1">
      <c r="A15" s="33">
        <v>45921.41340978009</v>
      </c>
      <c r="B15" s="16" t="s">
        <v>612</v>
      </c>
      <c r="C15" s="34" t="s">
        <v>613</v>
      </c>
      <c r="D15" s="34" t="s">
        <v>215</v>
      </c>
      <c r="E15" s="35" t="s">
        <v>614</v>
      </c>
      <c r="F15" s="35" t="s">
        <v>615</v>
      </c>
      <c r="G15" s="34" t="s">
        <v>616</v>
      </c>
      <c r="H15" s="34">
        <v>6.5655093E7</v>
      </c>
      <c r="I15" s="34" t="s">
        <v>617</v>
      </c>
      <c r="J15" s="34" t="s">
        <v>618</v>
      </c>
      <c r="K15" s="34">
        <v>9104180.0</v>
      </c>
      <c r="L15" s="20" t="s">
        <v>404</v>
      </c>
      <c r="M15" s="34" t="s">
        <v>619</v>
      </c>
      <c r="N15" s="34" t="s">
        <v>620</v>
      </c>
      <c r="O15" s="21" t="s">
        <v>621</v>
      </c>
      <c r="P15" s="22" t="s">
        <v>578</v>
      </c>
      <c r="Q15" s="55" t="s">
        <v>238</v>
      </c>
      <c r="R15" s="34">
        <v>7.585013E7</v>
      </c>
      <c r="S15" s="34" t="s">
        <v>622</v>
      </c>
      <c r="T15" s="38" t="s">
        <v>227</v>
      </c>
      <c r="U15" s="16" t="s">
        <v>300</v>
      </c>
      <c r="V15" s="34" t="s">
        <v>623</v>
      </c>
      <c r="W15" s="34" t="s">
        <v>624</v>
      </c>
      <c r="X15" s="29" t="s">
        <v>625</v>
      </c>
      <c r="Y15" s="39" t="s">
        <v>626</v>
      </c>
      <c r="Z15" s="39" t="s">
        <v>238</v>
      </c>
      <c r="AA15" s="34">
        <v>6.5196363E7</v>
      </c>
      <c r="AB15" s="34" t="s">
        <v>627</v>
      </c>
      <c r="AC15" s="38" t="s">
        <v>227</v>
      </c>
      <c r="AD15" s="16" t="s">
        <v>220</v>
      </c>
      <c r="AE15" s="34" t="s">
        <v>628</v>
      </c>
      <c r="AF15" s="34" t="s">
        <v>629</v>
      </c>
      <c r="AG15" s="21" t="s">
        <v>630</v>
      </c>
      <c r="AH15" s="22" t="s">
        <v>631</v>
      </c>
      <c r="AI15" s="22" t="s">
        <v>238</v>
      </c>
      <c r="AJ15" s="34">
        <v>6.5655093E7</v>
      </c>
      <c r="AK15" s="34" t="s">
        <v>618</v>
      </c>
      <c r="AL15" s="38" t="s">
        <v>227</v>
      </c>
      <c r="AM15" s="16" t="s">
        <v>300</v>
      </c>
      <c r="AN15" s="34" t="s">
        <v>632</v>
      </c>
      <c r="AO15" s="34" t="s">
        <v>633</v>
      </c>
      <c r="AP15" s="37" t="s">
        <v>634</v>
      </c>
      <c r="AQ15" s="16" t="s">
        <v>635</v>
      </c>
      <c r="AR15" s="16" t="s">
        <v>238</v>
      </c>
      <c r="AS15" s="34">
        <v>7.673964E7</v>
      </c>
      <c r="AT15" s="34" t="s">
        <v>636</v>
      </c>
      <c r="AU15" s="38" t="s">
        <v>227</v>
      </c>
      <c r="AV15" s="24" t="s">
        <v>637</v>
      </c>
      <c r="AW15" s="34" t="s">
        <v>638</v>
      </c>
      <c r="AX15" s="34" t="s">
        <v>639</v>
      </c>
      <c r="AY15" s="21" t="s">
        <v>640</v>
      </c>
      <c r="AZ15" s="22" t="s">
        <v>626</v>
      </c>
      <c r="BA15" s="55" t="s">
        <v>238</v>
      </c>
      <c r="BB15" s="34">
        <v>7.6514404E7</v>
      </c>
      <c r="BC15" s="34" t="s">
        <v>641</v>
      </c>
      <c r="BD15" s="38" t="s">
        <v>227</v>
      </c>
      <c r="BE15" s="40" t="s">
        <v>642</v>
      </c>
      <c r="BF15" s="35" t="s">
        <v>643</v>
      </c>
      <c r="BG15" s="34" t="s">
        <v>617</v>
      </c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</row>
    <row r="16" ht="22.5" customHeight="1">
      <c r="A16" s="33">
        <v>45921.4702439699</v>
      </c>
      <c r="B16" s="49" t="s">
        <v>644</v>
      </c>
      <c r="C16" s="34" t="s">
        <v>645</v>
      </c>
      <c r="D16" s="34" t="s">
        <v>215</v>
      </c>
      <c r="E16" s="35" t="s">
        <v>646</v>
      </c>
      <c r="F16" s="35" t="s">
        <v>647</v>
      </c>
      <c r="G16" s="34" t="s">
        <v>648</v>
      </c>
      <c r="H16" s="34">
        <v>6.9840654E7</v>
      </c>
      <c r="I16" s="34" t="s">
        <v>649</v>
      </c>
      <c r="J16" s="34" t="s">
        <v>650</v>
      </c>
      <c r="K16" s="34">
        <v>1.2393851E7</v>
      </c>
      <c r="L16" s="36" t="s">
        <v>438</v>
      </c>
      <c r="M16" s="34" t="s">
        <v>651</v>
      </c>
      <c r="N16" s="34" t="s">
        <v>652</v>
      </c>
      <c r="O16" s="37" t="s">
        <v>653</v>
      </c>
      <c r="P16" s="16" t="s">
        <v>654</v>
      </c>
      <c r="Q16" s="16" t="s">
        <v>238</v>
      </c>
      <c r="R16" s="34">
        <v>6.9840654E7</v>
      </c>
      <c r="S16" s="34" t="s">
        <v>655</v>
      </c>
      <c r="T16" s="38" t="s">
        <v>227</v>
      </c>
      <c r="U16" s="16" t="s">
        <v>300</v>
      </c>
      <c r="V16" s="34" t="s">
        <v>656</v>
      </c>
      <c r="W16" s="34" t="s">
        <v>657</v>
      </c>
      <c r="X16" s="29" t="s">
        <v>658</v>
      </c>
      <c r="Y16" s="39" t="s">
        <v>659</v>
      </c>
      <c r="Z16" s="22" t="s">
        <v>225</v>
      </c>
      <c r="AA16" s="34">
        <v>6.8159211E7</v>
      </c>
      <c r="AB16" s="34" t="s">
        <v>660</v>
      </c>
      <c r="AC16" s="38" t="s">
        <v>227</v>
      </c>
      <c r="AD16" s="16" t="s">
        <v>300</v>
      </c>
      <c r="AE16" s="34" t="s">
        <v>661</v>
      </c>
      <c r="AF16" s="34" t="s">
        <v>662</v>
      </c>
      <c r="AG16" s="43" t="s">
        <v>663</v>
      </c>
      <c r="AH16" s="40" t="s">
        <v>664</v>
      </c>
      <c r="AI16" s="40" t="s">
        <v>238</v>
      </c>
      <c r="AJ16" s="34">
        <v>6.8583688E7</v>
      </c>
      <c r="AK16" s="34" t="s">
        <v>665</v>
      </c>
      <c r="AL16" s="38" t="s">
        <v>227</v>
      </c>
      <c r="AM16" s="16" t="s">
        <v>300</v>
      </c>
      <c r="AN16" s="34" t="s">
        <v>666</v>
      </c>
      <c r="AO16" s="34" t="s">
        <v>667</v>
      </c>
      <c r="AP16" s="43" t="s">
        <v>668</v>
      </c>
      <c r="AQ16" s="40" t="s">
        <v>664</v>
      </c>
      <c r="AR16" s="22" t="s">
        <v>225</v>
      </c>
      <c r="AS16" s="34">
        <v>7.6492474E7</v>
      </c>
      <c r="AT16" s="34" t="s">
        <v>669</v>
      </c>
      <c r="AU16" s="38" t="s">
        <v>227</v>
      </c>
      <c r="AV16" s="40" t="s">
        <v>300</v>
      </c>
      <c r="AW16" s="34" t="s">
        <v>670</v>
      </c>
      <c r="AX16" s="34" t="s">
        <v>671</v>
      </c>
      <c r="AY16" s="37" t="s">
        <v>672</v>
      </c>
      <c r="AZ16" s="16" t="s">
        <v>673</v>
      </c>
      <c r="BA16" s="16" t="s">
        <v>238</v>
      </c>
      <c r="BB16" s="34">
        <v>7.6357714E7</v>
      </c>
      <c r="BC16" s="34" t="s">
        <v>674</v>
      </c>
      <c r="BD16" s="38" t="s">
        <v>227</v>
      </c>
      <c r="BE16" s="39" t="s">
        <v>675</v>
      </c>
      <c r="BF16" s="34" t="s">
        <v>676</v>
      </c>
      <c r="BG16" s="34" t="s">
        <v>649</v>
      </c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</row>
    <row r="17" ht="22.5" customHeight="1">
      <c r="A17" s="59">
        <v>45921.49680865741</v>
      </c>
      <c r="B17" s="49" t="s">
        <v>677</v>
      </c>
      <c r="C17" s="49" t="s">
        <v>678</v>
      </c>
      <c r="D17" s="49" t="s">
        <v>225</v>
      </c>
      <c r="E17" s="60" t="s">
        <v>679</v>
      </c>
      <c r="F17" s="61"/>
      <c r="G17" s="49" t="s">
        <v>680</v>
      </c>
      <c r="H17" s="49">
        <v>6.3264042E7</v>
      </c>
      <c r="I17" s="49" t="s">
        <v>681</v>
      </c>
      <c r="J17" s="49" t="s">
        <v>682</v>
      </c>
      <c r="K17" s="49">
        <v>1.5055449E7</v>
      </c>
      <c r="L17" s="48" t="s">
        <v>220</v>
      </c>
      <c r="M17" s="49" t="s">
        <v>683</v>
      </c>
      <c r="N17" s="49" t="s">
        <v>684</v>
      </c>
      <c r="O17" s="49" t="s">
        <v>685</v>
      </c>
      <c r="P17" s="49" t="s">
        <v>686</v>
      </c>
      <c r="Q17" s="49" t="s">
        <v>238</v>
      </c>
      <c r="R17" s="49">
        <v>6.9900785E7</v>
      </c>
      <c r="S17" s="49" t="s">
        <v>687</v>
      </c>
      <c r="T17" s="62" t="s">
        <v>227</v>
      </c>
      <c r="U17" s="49" t="s">
        <v>380</v>
      </c>
      <c r="V17" s="49" t="s">
        <v>688</v>
      </c>
      <c r="W17" s="49" t="s">
        <v>689</v>
      </c>
      <c r="X17" s="49" t="s">
        <v>690</v>
      </c>
      <c r="Y17" s="49" t="s">
        <v>691</v>
      </c>
      <c r="Z17" s="49" t="s">
        <v>238</v>
      </c>
      <c r="AA17" s="49">
        <v>6.3266988E7</v>
      </c>
      <c r="AB17" s="49" t="s">
        <v>692</v>
      </c>
      <c r="AC17" s="62" t="s">
        <v>227</v>
      </c>
      <c r="AD17" s="49" t="s">
        <v>449</v>
      </c>
      <c r="AE17" s="49" t="s">
        <v>680</v>
      </c>
      <c r="AF17" s="49" t="s">
        <v>693</v>
      </c>
      <c r="AG17" s="49" t="s">
        <v>681</v>
      </c>
      <c r="AH17" s="49" t="s">
        <v>694</v>
      </c>
      <c r="AI17" s="49" t="s">
        <v>238</v>
      </c>
      <c r="AJ17" s="49">
        <v>6.3264042E7</v>
      </c>
      <c r="AK17" s="49" t="s">
        <v>695</v>
      </c>
      <c r="AL17" s="62" t="s">
        <v>227</v>
      </c>
      <c r="AM17" s="49" t="s">
        <v>380</v>
      </c>
      <c r="AN17" s="49" t="s">
        <v>696</v>
      </c>
      <c r="AO17" s="49" t="s">
        <v>697</v>
      </c>
      <c r="AP17" s="49" t="s">
        <v>698</v>
      </c>
      <c r="AQ17" s="49" t="s">
        <v>699</v>
      </c>
      <c r="AR17" s="49" t="s">
        <v>238</v>
      </c>
      <c r="AS17" s="49">
        <v>7.3226733E7</v>
      </c>
      <c r="AT17" s="49" t="s">
        <v>700</v>
      </c>
      <c r="AU17" s="62" t="s">
        <v>227</v>
      </c>
      <c r="AV17" s="49" t="s">
        <v>404</v>
      </c>
      <c r="AW17" s="49" t="s">
        <v>701</v>
      </c>
      <c r="AX17" s="49" t="s">
        <v>702</v>
      </c>
      <c r="AY17" s="49" t="s">
        <v>703</v>
      </c>
      <c r="AZ17" s="49" t="s">
        <v>704</v>
      </c>
      <c r="BA17" s="49" t="s">
        <v>238</v>
      </c>
      <c r="BB17" s="49">
        <v>7.3282277E7</v>
      </c>
      <c r="BC17" s="49" t="s">
        <v>705</v>
      </c>
      <c r="BD17" s="62" t="s">
        <v>227</v>
      </c>
      <c r="BE17" s="49" t="s">
        <v>706</v>
      </c>
      <c r="BF17" s="61"/>
      <c r="BG17" s="49" t="s">
        <v>681</v>
      </c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3"/>
      <c r="DD17" s="63"/>
      <c r="DE17" s="63"/>
      <c r="DF17" s="63"/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3"/>
      <c r="EK17" s="63"/>
      <c r="EL17" s="63"/>
      <c r="EM17" s="63"/>
      <c r="EN17" s="63"/>
      <c r="EO17" s="63"/>
      <c r="EP17" s="63"/>
      <c r="EQ17" s="63"/>
      <c r="ER17" s="63"/>
      <c r="ES17" s="63"/>
      <c r="ET17" s="63"/>
      <c r="EU17" s="63"/>
      <c r="EV17" s="63"/>
      <c r="EW17" s="63"/>
      <c r="EX17" s="63"/>
      <c r="EY17" s="63"/>
      <c r="EZ17" s="63"/>
      <c r="FA17" s="63"/>
      <c r="FB17" s="63"/>
      <c r="FC17" s="63"/>
      <c r="FD17" s="63"/>
      <c r="FE17" s="63"/>
      <c r="FF17" s="63"/>
      <c r="FG17" s="63"/>
      <c r="FH17" s="63"/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3"/>
      <c r="FT17" s="63"/>
      <c r="FU17" s="63"/>
      <c r="FV17" s="63"/>
      <c r="FW17" s="63"/>
      <c r="FX17" s="63"/>
      <c r="FY17" s="63"/>
      <c r="FZ17" s="63"/>
      <c r="GA17" s="63"/>
      <c r="GB17" s="63"/>
      <c r="GC17" s="63"/>
      <c r="GD17" s="63"/>
      <c r="GE17" s="63"/>
      <c r="GF17" s="63"/>
      <c r="GG17" s="63"/>
      <c r="GH17" s="63"/>
      <c r="GI17" s="63"/>
      <c r="GJ17" s="63"/>
      <c r="GK17" s="63"/>
      <c r="GL17" s="63"/>
      <c r="GM17" s="63"/>
      <c r="GN17" s="63"/>
      <c r="GO17" s="63"/>
      <c r="GP17" s="63"/>
      <c r="GQ17" s="63"/>
      <c r="GR17" s="63"/>
      <c r="GS17" s="63"/>
      <c r="GT17" s="63"/>
      <c r="GU17" s="63"/>
      <c r="GV17" s="63"/>
      <c r="GW17" s="63"/>
      <c r="GX17" s="63"/>
      <c r="GY17" s="63"/>
      <c r="GZ17" s="61"/>
      <c r="HA17" s="64"/>
      <c r="HB17" s="64"/>
      <c r="HC17" s="64"/>
      <c r="HD17" s="64"/>
      <c r="HE17" s="64"/>
      <c r="HF17" s="64"/>
    </row>
    <row r="18" ht="22.5" customHeight="1">
      <c r="A18" s="65">
        <v>45921.51821519676</v>
      </c>
      <c r="B18" s="34" t="s">
        <v>707</v>
      </c>
      <c r="C18" s="34" t="s">
        <v>708</v>
      </c>
      <c r="D18" s="34" t="s">
        <v>215</v>
      </c>
      <c r="E18" s="35" t="s">
        <v>709</v>
      </c>
      <c r="F18" s="35" t="s">
        <v>710</v>
      </c>
      <c r="G18" s="34" t="s">
        <v>711</v>
      </c>
      <c r="H18" s="34">
        <v>7.5161424E7</v>
      </c>
      <c r="I18" s="34" t="s">
        <v>712</v>
      </c>
      <c r="J18" s="34" t="s">
        <v>713</v>
      </c>
      <c r="K18" s="34">
        <v>5802810.0</v>
      </c>
      <c r="L18" s="20" t="s">
        <v>284</v>
      </c>
      <c r="M18" s="34" t="s">
        <v>714</v>
      </c>
      <c r="N18" s="34" t="s">
        <v>715</v>
      </c>
      <c r="O18" s="37" t="s">
        <v>716</v>
      </c>
      <c r="P18" s="16" t="s">
        <v>717</v>
      </c>
      <c r="Q18" s="16" t="s">
        <v>238</v>
      </c>
      <c r="R18" s="34">
        <v>6.338843E7</v>
      </c>
      <c r="S18" s="34" t="s">
        <v>718</v>
      </c>
      <c r="T18" s="38" t="s">
        <v>227</v>
      </c>
      <c r="U18" s="24" t="s">
        <v>449</v>
      </c>
      <c r="V18" s="34" t="s">
        <v>711</v>
      </c>
      <c r="W18" s="34" t="s">
        <v>719</v>
      </c>
      <c r="X18" s="37" t="s">
        <v>720</v>
      </c>
      <c r="Y18" s="16" t="s">
        <v>721</v>
      </c>
      <c r="Z18" s="16" t="s">
        <v>238</v>
      </c>
      <c r="AA18" s="34">
        <v>7.5161424E7</v>
      </c>
      <c r="AB18" s="34" t="s">
        <v>713</v>
      </c>
      <c r="AC18" s="38" t="s">
        <v>227</v>
      </c>
      <c r="AD18" s="24" t="s">
        <v>722</v>
      </c>
      <c r="AE18" s="34" t="s">
        <v>723</v>
      </c>
      <c r="AF18" s="34" t="s">
        <v>724</v>
      </c>
      <c r="AG18" s="29" t="s">
        <v>725</v>
      </c>
      <c r="AH18" s="39" t="s">
        <v>726</v>
      </c>
      <c r="AI18" s="22" t="s">
        <v>225</v>
      </c>
      <c r="AJ18" s="34">
        <v>6.7672302E7</v>
      </c>
      <c r="AK18" s="34" t="s">
        <v>727</v>
      </c>
      <c r="AL18" s="38" t="s">
        <v>227</v>
      </c>
      <c r="AM18" s="24" t="s">
        <v>278</v>
      </c>
      <c r="AN18" s="34" t="s">
        <v>728</v>
      </c>
      <c r="AO18" s="34" t="s">
        <v>729</v>
      </c>
      <c r="AP18" s="29" t="s">
        <v>730</v>
      </c>
      <c r="AQ18" s="39" t="s">
        <v>726</v>
      </c>
      <c r="AR18" s="22" t="s">
        <v>225</v>
      </c>
      <c r="AS18" s="34">
        <v>6.7399204E7</v>
      </c>
      <c r="AT18" s="34" t="s">
        <v>731</v>
      </c>
      <c r="AU18" s="38" t="s">
        <v>227</v>
      </c>
      <c r="AV18" s="24" t="s">
        <v>438</v>
      </c>
      <c r="AW18" s="34" t="s">
        <v>732</v>
      </c>
      <c r="AX18" s="34" t="s">
        <v>733</v>
      </c>
      <c r="AY18" s="29" t="s">
        <v>734</v>
      </c>
      <c r="AZ18" s="39" t="s">
        <v>735</v>
      </c>
      <c r="BA18" s="22" t="s">
        <v>238</v>
      </c>
      <c r="BB18" s="34">
        <v>7.6832836E7</v>
      </c>
      <c r="BC18" s="34" t="s">
        <v>736</v>
      </c>
      <c r="BD18" s="38" t="s">
        <v>227</v>
      </c>
      <c r="BE18" s="40" t="s">
        <v>737</v>
      </c>
      <c r="BF18" s="35" t="s">
        <v>738</v>
      </c>
      <c r="BG18" s="34" t="s">
        <v>712</v>
      </c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</row>
    <row r="19" ht="22.5" customHeight="1">
      <c r="A19" s="65">
        <v>45921.55302032408</v>
      </c>
      <c r="B19" s="34" t="s">
        <v>739</v>
      </c>
      <c r="C19" s="34" t="s">
        <v>740</v>
      </c>
      <c r="D19" s="34" t="s">
        <v>225</v>
      </c>
      <c r="E19" s="35" t="s">
        <v>741</v>
      </c>
      <c r="G19" s="34" t="s">
        <v>742</v>
      </c>
      <c r="H19" s="34">
        <v>7.832725E7</v>
      </c>
      <c r="I19" s="34" t="s">
        <v>743</v>
      </c>
      <c r="J19" s="34" t="s">
        <v>744</v>
      </c>
      <c r="K19" s="34">
        <v>8419703.0</v>
      </c>
      <c r="L19" s="20" t="s">
        <v>220</v>
      </c>
      <c r="M19" s="34" t="s">
        <v>745</v>
      </c>
      <c r="N19" s="34" t="s">
        <v>746</v>
      </c>
      <c r="O19" s="29" t="s">
        <v>747</v>
      </c>
      <c r="P19" s="39" t="s">
        <v>748</v>
      </c>
      <c r="Q19" s="39" t="s">
        <v>238</v>
      </c>
      <c r="R19" s="34">
        <v>6.9537742E7</v>
      </c>
      <c r="S19" s="34" t="s">
        <v>749</v>
      </c>
      <c r="T19" s="38" t="s">
        <v>227</v>
      </c>
      <c r="U19" s="24" t="s">
        <v>449</v>
      </c>
      <c r="V19" s="34" t="s">
        <v>750</v>
      </c>
      <c r="W19" s="34" t="s">
        <v>751</v>
      </c>
      <c r="X19" s="37" t="s">
        <v>752</v>
      </c>
      <c r="Y19" s="16" t="s">
        <v>753</v>
      </c>
      <c r="Z19" s="16" t="s">
        <v>238</v>
      </c>
      <c r="AA19" s="34">
        <v>6.3843505E7</v>
      </c>
      <c r="AB19" s="34" t="s">
        <v>754</v>
      </c>
      <c r="AC19" s="38" t="s">
        <v>227</v>
      </c>
      <c r="AD19" s="24" t="s">
        <v>272</v>
      </c>
      <c r="AE19" s="34" t="s">
        <v>755</v>
      </c>
      <c r="AF19" s="34" t="s">
        <v>756</v>
      </c>
      <c r="AG19" s="29" t="s">
        <v>757</v>
      </c>
      <c r="AH19" s="39" t="s">
        <v>758</v>
      </c>
      <c r="AI19" s="39" t="s">
        <v>238</v>
      </c>
      <c r="AJ19" s="34">
        <v>6.2722729E7</v>
      </c>
      <c r="AK19" s="34" t="s">
        <v>759</v>
      </c>
      <c r="AL19" s="38" t="s">
        <v>227</v>
      </c>
      <c r="AM19" s="16" t="s">
        <v>284</v>
      </c>
      <c r="AN19" s="34" t="s">
        <v>760</v>
      </c>
      <c r="AO19" s="34" t="s">
        <v>761</v>
      </c>
      <c r="AP19" s="66" t="s">
        <v>762</v>
      </c>
      <c r="AQ19" s="39" t="s">
        <v>763</v>
      </c>
      <c r="AR19" s="22" t="s">
        <v>238</v>
      </c>
      <c r="AS19" s="34">
        <v>7.832725E7</v>
      </c>
      <c r="AT19" s="34" t="s">
        <v>744</v>
      </c>
      <c r="AU19" s="38" t="s">
        <v>227</v>
      </c>
      <c r="AV19" s="40" t="s">
        <v>380</v>
      </c>
      <c r="AW19" s="34" t="s">
        <v>764</v>
      </c>
      <c r="AX19" s="34" t="s">
        <v>765</v>
      </c>
      <c r="AY19" s="29" t="s">
        <v>766</v>
      </c>
      <c r="AZ19" s="39" t="s">
        <v>767</v>
      </c>
      <c r="BA19" s="22" t="s">
        <v>238</v>
      </c>
      <c r="BB19" s="34">
        <v>7.2764543E7</v>
      </c>
      <c r="BC19" s="34" t="s">
        <v>768</v>
      </c>
      <c r="BD19" s="38" t="s">
        <v>227</v>
      </c>
      <c r="BE19" s="40" t="s">
        <v>769</v>
      </c>
      <c r="BF19" s="35" t="s">
        <v>770</v>
      </c>
      <c r="BG19" s="34" t="s">
        <v>743</v>
      </c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41"/>
      <c r="GN19" s="4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</row>
    <row r="20" ht="22.5" customHeight="1">
      <c r="A20" s="65">
        <v>45921.56306071759</v>
      </c>
      <c r="B20" s="34" t="s">
        <v>771</v>
      </c>
      <c r="C20" s="34" t="s">
        <v>772</v>
      </c>
      <c r="D20" s="34" t="s">
        <v>225</v>
      </c>
      <c r="E20" s="35" t="s">
        <v>773</v>
      </c>
      <c r="G20" s="34" t="s">
        <v>774</v>
      </c>
      <c r="H20" s="34">
        <v>6.0857858E7</v>
      </c>
      <c r="I20" s="34" t="s">
        <v>775</v>
      </c>
      <c r="J20" s="34" t="s">
        <v>776</v>
      </c>
      <c r="K20" s="34">
        <v>9830153.0</v>
      </c>
      <c r="L20" s="48" t="s">
        <v>777</v>
      </c>
      <c r="M20" s="34" t="s">
        <v>774</v>
      </c>
      <c r="N20" s="34" t="s">
        <v>778</v>
      </c>
      <c r="O20" s="43" t="s">
        <v>779</v>
      </c>
      <c r="P20" s="40" t="s">
        <v>780</v>
      </c>
      <c r="Q20" s="40" t="s">
        <v>238</v>
      </c>
      <c r="R20" s="34">
        <v>6.0857858E7</v>
      </c>
      <c r="S20" s="34" t="s">
        <v>781</v>
      </c>
      <c r="T20" s="38" t="s">
        <v>227</v>
      </c>
      <c r="U20" s="49" t="s">
        <v>475</v>
      </c>
      <c r="V20" s="34" t="s">
        <v>782</v>
      </c>
      <c r="W20" s="34" t="s">
        <v>783</v>
      </c>
      <c r="X20" s="21" t="s">
        <v>784</v>
      </c>
      <c r="Y20" s="22" t="s">
        <v>785</v>
      </c>
      <c r="Z20" s="22" t="s">
        <v>225</v>
      </c>
      <c r="AA20" s="34">
        <v>7.5500233E7</v>
      </c>
      <c r="AB20" s="34" t="s">
        <v>786</v>
      </c>
      <c r="AC20" s="38" t="s">
        <v>227</v>
      </c>
      <c r="AD20" s="16" t="s">
        <v>220</v>
      </c>
      <c r="AE20" s="34" t="s">
        <v>787</v>
      </c>
      <c r="AF20" s="34" t="s">
        <v>788</v>
      </c>
      <c r="AG20" s="37" t="s">
        <v>789</v>
      </c>
      <c r="AH20" s="16" t="s">
        <v>790</v>
      </c>
      <c r="AI20" s="16" t="s">
        <v>238</v>
      </c>
      <c r="AJ20" s="34">
        <v>7.8577839E7</v>
      </c>
      <c r="AK20" s="34" t="s">
        <v>791</v>
      </c>
      <c r="AL20" s="38" t="s">
        <v>227</v>
      </c>
      <c r="AM20" s="24" t="s">
        <v>449</v>
      </c>
      <c r="AN20" s="34" t="s">
        <v>792</v>
      </c>
      <c r="AO20" s="34" t="s">
        <v>793</v>
      </c>
      <c r="AP20" s="43" t="s">
        <v>794</v>
      </c>
      <c r="AQ20" s="40" t="s">
        <v>795</v>
      </c>
      <c r="AR20" s="40" t="s">
        <v>238</v>
      </c>
      <c r="AS20" s="34">
        <v>7.080136E7</v>
      </c>
      <c r="AT20" s="34" t="s">
        <v>796</v>
      </c>
      <c r="AU20" s="38" t="s">
        <v>227</v>
      </c>
      <c r="AV20" s="24" t="s">
        <v>797</v>
      </c>
      <c r="AW20" s="34" t="s">
        <v>798</v>
      </c>
      <c r="AX20" s="34" t="s">
        <v>799</v>
      </c>
      <c r="AY20" s="37" t="s">
        <v>800</v>
      </c>
      <c r="AZ20" s="16" t="s">
        <v>790</v>
      </c>
      <c r="BA20" s="16" t="s">
        <v>238</v>
      </c>
      <c r="BB20" s="34">
        <v>6.4468136E7</v>
      </c>
      <c r="BC20" s="34" t="s">
        <v>801</v>
      </c>
      <c r="BD20" s="38" t="s">
        <v>227</v>
      </c>
      <c r="BE20" s="40" t="s">
        <v>802</v>
      </c>
      <c r="BF20" s="34" t="s">
        <v>803</v>
      </c>
      <c r="BG20" s="34" t="s">
        <v>775</v>
      </c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</row>
    <row r="21" ht="22.5" customHeight="1">
      <c r="A21" s="65">
        <v>45921.59513099537</v>
      </c>
      <c r="B21" s="34" t="s">
        <v>804</v>
      </c>
      <c r="C21" s="34" t="s">
        <v>805</v>
      </c>
      <c r="D21" s="34" t="s">
        <v>225</v>
      </c>
      <c r="E21" s="35" t="s">
        <v>806</v>
      </c>
      <c r="F21" s="35" t="s">
        <v>807</v>
      </c>
      <c r="G21" s="34" t="s">
        <v>808</v>
      </c>
      <c r="H21" s="34">
        <v>7.8719753E7</v>
      </c>
      <c r="I21" s="34" t="s">
        <v>809</v>
      </c>
      <c r="J21" s="34" t="s">
        <v>810</v>
      </c>
      <c r="K21" s="34">
        <v>8552558.0</v>
      </c>
      <c r="L21" s="20" t="s">
        <v>404</v>
      </c>
      <c r="M21" s="34" t="s">
        <v>811</v>
      </c>
      <c r="N21" s="34" t="s">
        <v>812</v>
      </c>
      <c r="O21" s="29" t="s">
        <v>813</v>
      </c>
      <c r="P21" s="39" t="s">
        <v>814</v>
      </c>
      <c r="Q21" s="22" t="s">
        <v>238</v>
      </c>
      <c r="R21" s="34">
        <v>7.3010288E7</v>
      </c>
      <c r="S21" s="34" t="s">
        <v>815</v>
      </c>
      <c r="T21" s="38" t="s">
        <v>227</v>
      </c>
      <c r="U21" s="16" t="s">
        <v>284</v>
      </c>
      <c r="V21" s="34" t="s">
        <v>816</v>
      </c>
      <c r="W21" s="34" t="s">
        <v>817</v>
      </c>
      <c r="X21" s="29" t="s">
        <v>818</v>
      </c>
      <c r="Y21" s="39" t="s">
        <v>819</v>
      </c>
      <c r="Z21" s="44" t="s">
        <v>238</v>
      </c>
      <c r="AA21" s="34">
        <v>7.8732089E7</v>
      </c>
      <c r="AB21" s="34" t="s">
        <v>820</v>
      </c>
      <c r="AC21" s="38" t="s">
        <v>227</v>
      </c>
      <c r="AD21" s="16" t="s">
        <v>404</v>
      </c>
      <c r="AE21" s="34" t="s">
        <v>821</v>
      </c>
      <c r="AF21" s="34" t="s">
        <v>822</v>
      </c>
      <c r="AG21" s="21" t="s">
        <v>823</v>
      </c>
      <c r="AH21" s="22" t="s">
        <v>824</v>
      </c>
      <c r="AI21" s="55" t="s">
        <v>238</v>
      </c>
      <c r="AJ21" s="34">
        <v>6.8373806E7</v>
      </c>
      <c r="AK21" s="34" t="s">
        <v>825</v>
      </c>
      <c r="AL21" s="38" t="s">
        <v>227</v>
      </c>
      <c r="AM21" s="24" t="s">
        <v>826</v>
      </c>
      <c r="AN21" s="34" t="s">
        <v>827</v>
      </c>
      <c r="AO21" s="34" t="s">
        <v>828</v>
      </c>
      <c r="AP21" s="43" t="s">
        <v>829</v>
      </c>
      <c r="AQ21" s="40" t="s">
        <v>830</v>
      </c>
      <c r="AR21" s="40" t="s">
        <v>238</v>
      </c>
      <c r="AS21" s="34">
        <v>7.8719753E7</v>
      </c>
      <c r="AT21" s="34" t="s">
        <v>831</v>
      </c>
      <c r="AU21" s="38" t="s">
        <v>227</v>
      </c>
      <c r="AV21" s="40" t="s">
        <v>404</v>
      </c>
      <c r="AW21" s="34" t="s">
        <v>832</v>
      </c>
      <c r="AX21" s="34" t="s">
        <v>833</v>
      </c>
      <c r="AY21" s="29" t="s">
        <v>834</v>
      </c>
      <c r="AZ21" s="39" t="s">
        <v>835</v>
      </c>
      <c r="BA21" s="22" t="s">
        <v>238</v>
      </c>
      <c r="BB21" s="34">
        <v>7.0460411E7</v>
      </c>
      <c r="BC21" s="34" t="s">
        <v>836</v>
      </c>
      <c r="BD21" s="38" t="s">
        <v>227</v>
      </c>
      <c r="BE21" s="22" t="s">
        <v>837</v>
      </c>
      <c r="BF21" s="35" t="s">
        <v>838</v>
      </c>
      <c r="BG21" s="34" t="s">
        <v>839</v>
      </c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  <c r="GI21" s="41"/>
      <c r="GJ21" s="41"/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</row>
    <row r="22" ht="22.5" customHeight="1">
      <c r="A22" s="65">
        <v>45921.64148315972</v>
      </c>
      <c r="B22" s="34" t="s">
        <v>840</v>
      </c>
      <c r="C22" s="34" t="s">
        <v>841</v>
      </c>
      <c r="D22" s="34" t="s">
        <v>215</v>
      </c>
      <c r="E22" s="35" t="s">
        <v>842</v>
      </c>
      <c r="F22" s="35" t="s">
        <v>843</v>
      </c>
      <c r="G22" s="34" t="s">
        <v>844</v>
      </c>
      <c r="H22" s="34">
        <v>7.352206E7</v>
      </c>
      <c r="I22" s="34" t="s">
        <v>845</v>
      </c>
      <c r="J22" s="34" t="s">
        <v>846</v>
      </c>
      <c r="K22" s="34" t="s">
        <v>847</v>
      </c>
      <c r="L22" s="67" t="s">
        <v>300</v>
      </c>
      <c r="M22" s="34" t="s">
        <v>848</v>
      </c>
      <c r="N22" s="68" t="s">
        <v>849</v>
      </c>
      <c r="O22" s="35" t="s">
        <v>850</v>
      </c>
      <c r="P22" s="34" t="s">
        <v>851</v>
      </c>
      <c r="Q22" s="34" t="s">
        <v>238</v>
      </c>
      <c r="R22" s="34">
        <v>7.1267223E7</v>
      </c>
      <c r="S22" s="34" t="s">
        <v>852</v>
      </c>
      <c r="T22" s="38" t="s">
        <v>227</v>
      </c>
      <c r="U22" s="34" t="s">
        <v>320</v>
      </c>
      <c r="V22" s="34" t="s">
        <v>853</v>
      </c>
      <c r="W22" s="68" t="s">
        <v>854</v>
      </c>
      <c r="X22" s="35" t="s">
        <v>855</v>
      </c>
      <c r="Y22" s="34" t="s">
        <v>856</v>
      </c>
      <c r="Z22" s="34" t="s">
        <v>238</v>
      </c>
      <c r="AA22" s="34">
        <v>7.893901E7</v>
      </c>
      <c r="AB22" s="34" t="s">
        <v>857</v>
      </c>
      <c r="AC22" s="38" t="s">
        <v>227</v>
      </c>
      <c r="AD22" s="34" t="s">
        <v>380</v>
      </c>
      <c r="AE22" s="34" t="s">
        <v>858</v>
      </c>
      <c r="AF22" s="68" t="s">
        <v>859</v>
      </c>
      <c r="AG22" s="35" t="s">
        <v>860</v>
      </c>
      <c r="AH22" s="34" t="s">
        <v>861</v>
      </c>
      <c r="AI22" s="34" t="s">
        <v>238</v>
      </c>
      <c r="AJ22" s="34">
        <v>7.6737152E7</v>
      </c>
      <c r="AK22" s="34">
        <v>3.471820235E9</v>
      </c>
      <c r="AL22" s="38" t="s">
        <v>227</v>
      </c>
      <c r="AM22" s="34" t="s">
        <v>284</v>
      </c>
      <c r="AN22" s="34" t="s">
        <v>862</v>
      </c>
      <c r="AO22" s="68" t="s">
        <v>863</v>
      </c>
      <c r="AP22" s="35" t="s">
        <v>864</v>
      </c>
      <c r="AQ22" s="34" t="s">
        <v>865</v>
      </c>
      <c r="AR22" s="34" t="s">
        <v>238</v>
      </c>
      <c r="AS22" s="34">
        <v>7.352206E7</v>
      </c>
      <c r="AT22" s="34" t="s">
        <v>846</v>
      </c>
      <c r="AU22" s="38" t="s">
        <v>227</v>
      </c>
      <c r="AV22" s="34" t="s">
        <v>300</v>
      </c>
      <c r="AW22" s="34" t="s">
        <v>866</v>
      </c>
      <c r="AX22" s="68" t="s">
        <v>867</v>
      </c>
      <c r="AY22" s="35" t="s">
        <v>868</v>
      </c>
      <c r="AZ22" s="34" t="s">
        <v>869</v>
      </c>
      <c r="BA22" s="34" t="s">
        <v>238</v>
      </c>
      <c r="BB22" s="34">
        <v>7.1932296E7</v>
      </c>
      <c r="BC22" s="34" t="s">
        <v>870</v>
      </c>
      <c r="BD22" s="38" t="s">
        <v>227</v>
      </c>
      <c r="BE22" s="34" t="s">
        <v>871</v>
      </c>
      <c r="BF22" s="35" t="s">
        <v>872</v>
      </c>
      <c r="BG22" s="34" t="s">
        <v>845</v>
      </c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  <c r="GG22" s="41"/>
      <c r="GH22" s="41"/>
      <c r="GI22" s="41"/>
      <c r="GJ22" s="41"/>
      <c r="GK22" s="41"/>
      <c r="GL22" s="41"/>
      <c r="GM22" s="41"/>
      <c r="GN22" s="4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</row>
    <row r="23" ht="22.5" customHeight="1">
      <c r="A23" s="65">
        <v>45921.71831078704</v>
      </c>
      <c r="B23" s="34" t="s">
        <v>873</v>
      </c>
      <c r="C23" s="34" t="s">
        <v>874</v>
      </c>
      <c r="D23" s="34" t="s">
        <v>215</v>
      </c>
      <c r="E23" s="35" t="s">
        <v>875</v>
      </c>
      <c r="F23" s="35" t="s">
        <v>876</v>
      </c>
      <c r="G23" s="34" t="s">
        <v>877</v>
      </c>
      <c r="H23" s="34">
        <v>7.7939107E7</v>
      </c>
      <c r="I23" s="34" t="s">
        <v>878</v>
      </c>
      <c r="J23" s="34" t="s">
        <v>879</v>
      </c>
      <c r="K23" s="34">
        <v>8813217.0</v>
      </c>
      <c r="L23" s="20" t="s">
        <v>300</v>
      </c>
      <c r="M23" s="34" t="s">
        <v>880</v>
      </c>
      <c r="N23" s="34" t="s">
        <v>881</v>
      </c>
      <c r="O23" s="21" t="s">
        <v>882</v>
      </c>
      <c r="P23" s="22" t="s">
        <v>883</v>
      </c>
      <c r="Q23" s="49" t="s">
        <v>225</v>
      </c>
      <c r="R23" s="34">
        <v>7.6702738E7</v>
      </c>
      <c r="S23" s="34" t="s">
        <v>884</v>
      </c>
      <c r="T23" s="38" t="s">
        <v>227</v>
      </c>
      <c r="U23" s="16" t="s">
        <v>300</v>
      </c>
      <c r="V23" s="34" t="s">
        <v>885</v>
      </c>
      <c r="W23" s="34" t="s">
        <v>886</v>
      </c>
      <c r="X23" s="37" t="s">
        <v>887</v>
      </c>
      <c r="Y23" s="16" t="s">
        <v>888</v>
      </c>
      <c r="Z23" s="16" t="s">
        <v>238</v>
      </c>
      <c r="AA23" s="34">
        <v>7.7939107E7</v>
      </c>
      <c r="AB23" s="34" t="s">
        <v>879</v>
      </c>
      <c r="AC23" s="38" t="s">
        <v>227</v>
      </c>
      <c r="AD23" s="16" t="s">
        <v>300</v>
      </c>
      <c r="AE23" s="34" t="s">
        <v>889</v>
      </c>
      <c r="AF23" s="34" t="s">
        <v>890</v>
      </c>
      <c r="AG23" s="29" t="s">
        <v>891</v>
      </c>
      <c r="AH23" s="22" t="s">
        <v>384</v>
      </c>
      <c r="AI23" s="22" t="s">
        <v>225</v>
      </c>
      <c r="AJ23" s="34">
        <v>7.8853672E7</v>
      </c>
      <c r="AL23" s="38" t="s">
        <v>227</v>
      </c>
      <c r="AM23" s="16" t="s">
        <v>300</v>
      </c>
      <c r="AN23" s="34" t="s">
        <v>892</v>
      </c>
      <c r="AO23" s="34" t="s">
        <v>893</v>
      </c>
      <c r="AP23" s="29" t="s">
        <v>894</v>
      </c>
      <c r="AQ23" s="39" t="s">
        <v>895</v>
      </c>
      <c r="AR23" s="22" t="s">
        <v>225</v>
      </c>
      <c r="AS23" s="34">
        <v>7.7794865E7</v>
      </c>
      <c r="AT23" s="34" t="s">
        <v>896</v>
      </c>
      <c r="AU23" s="38" t="s">
        <v>227</v>
      </c>
      <c r="AV23" s="40" t="s">
        <v>300</v>
      </c>
      <c r="AW23" s="34" t="s">
        <v>897</v>
      </c>
      <c r="AX23" s="34" t="s">
        <v>898</v>
      </c>
      <c r="AY23" s="43" t="s">
        <v>899</v>
      </c>
      <c r="AZ23" s="40" t="s">
        <v>888</v>
      </c>
      <c r="BA23" s="40" t="s">
        <v>238</v>
      </c>
      <c r="BB23" s="34">
        <v>7.5997499E7</v>
      </c>
      <c r="BC23" s="34" t="s">
        <v>900</v>
      </c>
      <c r="BD23" s="38" t="s">
        <v>227</v>
      </c>
      <c r="BG23" s="34" t="s">
        <v>901</v>
      </c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</row>
    <row r="24" ht="22.5" customHeight="1">
      <c r="A24" s="65">
        <v>45921.766772511575</v>
      </c>
      <c r="B24" s="34" t="s">
        <v>902</v>
      </c>
      <c r="C24" s="34" t="s">
        <v>903</v>
      </c>
      <c r="D24" s="34" t="s">
        <v>215</v>
      </c>
      <c r="E24" s="35" t="s">
        <v>904</v>
      </c>
      <c r="F24" s="35" t="s">
        <v>905</v>
      </c>
      <c r="G24" s="34" t="s">
        <v>906</v>
      </c>
      <c r="H24" s="34">
        <v>7.5222262E7</v>
      </c>
      <c r="I24" s="34" t="s">
        <v>907</v>
      </c>
      <c r="J24" s="34" t="s">
        <v>908</v>
      </c>
      <c r="K24" s="34">
        <v>9881044.0</v>
      </c>
      <c r="L24" s="67" t="s">
        <v>404</v>
      </c>
      <c r="M24" s="34" t="s">
        <v>909</v>
      </c>
      <c r="N24" s="34" t="s">
        <v>910</v>
      </c>
      <c r="O24" s="35" t="s">
        <v>911</v>
      </c>
      <c r="P24" s="34" t="s">
        <v>912</v>
      </c>
      <c r="Q24" s="34" t="s">
        <v>238</v>
      </c>
      <c r="R24" s="34">
        <v>7.5222262E7</v>
      </c>
      <c r="S24" s="34" t="s">
        <v>908</v>
      </c>
      <c r="T24" s="38" t="s">
        <v>227</v>
      </c>
      <c r="U24" s="34" t="s">
        <v>300</v>
      </c>
      <c r="V24" s="34" t="s">
        <v>913</v>
      </c>
      <c r="W24" s="34" t="s">
        <v>914</v>
      </c>
      <c r="X24" s="35" t="s">
        <v>915</v>
      </c>
      <c r="Y24" s="34" t="s">
        <v>916</v>
      </c>
      <c r="Z24" s="34" t="s">
        <v>238</v>
      </c>
      <c r="AA24" s="34">
        <v>6.9950414E7</v>
      </c>
      <c r="AB24" s="34" t="s">
        <v>917</v>
      </c>
      <c r="AC24" s="38" t="s">
        <v>227</v>
      </c>
      <c r="AD24" s="34" t="s">
        <v>300</v>
      </c>
      <c r="AE24" s="34" t="s">
        <v>918</v>
      </c>
      <c r="AF24" s="34" t="s">
        <v>919</v>
      </c>
      <c r="AG24" s="35" t="s">
        <v>920</v>
      </c>
      <c r="AH24" s="34" t="s">
        <v>921</v>
      </c>
      <c r="AI24" s="34" t="s">
        <v>238</v>
      </c>
      <c r="AJ24" s="34">
        <v>7.9320182E7</v>
      </c>
      <c r="AK24" s="34" t="s">
        <v>922</v>
      </c>
      <c r="AL24" s="38" t="s">
        <v>227</v>
      </c>
      <c r="AM24" s="34" t="s">
        <v>300</v>
      </c>
      <c r="AN24" s="34" t="s">
        <v>923</v>
      </c>
      <c r="AO24" s="34" t="s">
        <v>924</v>
      </c>
      <c r="AP24" s="35" t="s">
        <v>925</v>
      </c>
      <c r="AQ24" s="34" t="s">
        <v>926</v>
      </c>
      <c r="AR24" s="34" t="s">
        <v>238</v>
      </c>
      <c r="AS24" s="34">
        <v>7.5799999E7</v>
      </c>
      <c r="AT24" s="34" t="s">
        <v>927</v>
      </c>
      <c r="AU24" s="38" t="s">
        <v>227</v>
      </c>
      <c r="AV24" s="34" t="s">
        <v>300</v>
      </c>
      <c r="AW24" s="34" t="s">
        <v>928</v>
      </c>
      <c r="AX24" s="34" t="s">
        <v>929</v>
      </c>
      <c r="AY24" s="35" t="s">
        <v>930</v>
      </c>
      <c r="AZ24" s="34" t="s">
        <v>931</v>
      </c>
      <c r="BA24" s="34" t="s">
        <v>238</v>
      </c>
      <c r="BB24" s="34">
        <v>6.2549377E7</v>
      </c>
      <c r="BC24" s="34" t="s">
        <v>932</v>
      </c>
      <c r="BD24" s="38" t="s">
        <v>227</v>
      </c>
      <c r="BE24" s="34" t="s">
        <v>933</v>
      </c>
      <c r="BF24" s="34" t="s">
        <v>934</v>
      </c>
      <c r="BG24" s="34" t="s">
        <v>907</v>
      </c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1"/>
      <c r="EG24" s="41"/>
      <c r="EH24" s="41"/>
      <c r="EI24" s="41"/>
      <c r="EJ24" s="41"/>
      <c r="EK24" s="41"/>
      <c r="EL24" s="41"/>
      <c r="EM24" s="41"/>
      <c r="EN24" s="41"/>
      <c r="EO24" s="41"/>
      <c r="EP24" s="41"/>
      <c r="EQ24" s="41"/>
      <c r="ER24" s="41"/>
      <c r="ES24" s="41"/>
      <c r="ET24" s="41"/>
      <c r="EU24" s="41"/>
      <c r="EV24" s="41"/>
      <c r="EW24" s="41"/>
      <c r="EX24" s="41"/>
      <c r="EY24" s="41"/>
      <c r="EZ24" s="41"/>
      <c r="FA24" s="41"/>
      <c r="FB24" s="41"/>
      <c r="FC24" s="41"/>
      <c r="FD24" s="41"/>
      <c r="FE24" s="41"/>
      <c r="FF24" s="41"/>
      <c r="FG24" s="41"/>
      <c r="FH24" s="41"/>
      <c r="FI24" s="41"/>
      <c r="FJ24" s="41"/>
      <c r="FK24" s="41"/>
      <c r="FL24" s="41"/>
      <c r="FM24" s="41"/>
      <c r="FN24" s="41"/>
      <c r="FO24" s="41"/>
      <c r="FP24" s="41"/>
      <c r="FQ24" s="41"/>
      <c r="FR24" s="41"/>
      <c r="FS24" s="41"/>
      <c r="FT24" s="41"/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  <c r="GI24" s="41"/>
      <c r="GJ24" s="41"/>
      <c r="GK24" s="41"/>
      <c r="GL24" s="41"/>
      <c r="GM24" s="41"/>
      <c r="GN24" s="41"/>
      <c r="GO24" s="41"/>
      <c r="GP24" s="41"/>
      <c r="GQ24" s="41"/>
      <c r="GR24" s="41"/>
      <c r="GS24" s="41"/>
      <c r="GT24" s="41"/>
      <c r="GU24" s="41"/>
      <c r="GV24" s="41"/>
      <c r="GW24" s="41"/>
      <c r="GX24" s="41"/>
      <c r="GY24" s="41"/>
    </row>
    <row r="25" ht="22.5" customHeight="1">
      <c r="A25" s="65">
        <v>45921.78327680555</v>
      </c>
      <c r="B25" s="34" t="s">
        <v>935</v>
      </c>
      <c r="C25" s="34" t="s">
        <v>936</v>
      </c>
      <c r="D25" s="34" t="s">
        <v>215</v>
      </c>
      <c r="E25" s="35" t="s">
        <v>937</v>
      </c>
      <c r="F25" s="35" t="s">
        <v>938</v>
      </c>
      <c r="G25" s="34" t="s">
        <v>939</v>
      </c>
      <c r="H25" s="34">
        <v>7.5966684E7</v>
      </c>
      <c r="I25" s="34" t="s">
        <v>940</v>
      </c>
      <c r="J25" s="34" t="s">
        <v>941</v>
      </c>
      <c r="K25" s="34">
        <v>1.3097176E7</v>
      </c>
      <c r="L25" s="20" t="s">
        <v>284</v>
      </c>
      <c r="M25" s="34" t="s">
        <v>942</v>
      </c>
      <c r="N25" s="34" t="s">
        <v>943</v>
      </c>
      <c r="O25" s="37" t="s">
        <v>944</v>
      </c>
      <c r="P25" s="16" t="s">
        <v>945</v>
      </c>
      <c r="Q25" s="16" t="s">
        <v>238</v>
      </c>
      <c r="R25" s="34">
        <v>6.3738496E7</v>
      </c>
      <c r="S25" s="34" t="s">
        <v>946</v>
      </c>
      <c r="T25" s="38" t="s">
        <v>227</v>
      </c>
      <c r="U25" s="24" t="s">
        <v>947</v>
      </c>
      <c r="V25" s="34" t="s">
        <v>948</v>
      </c>
      <c r="W25" s="34" t="s">
        <v>949</v>
      </c>
      <c r="X25" s="29" t="s">
        <v>950</v>
      </c>
      <c r="Y25" s="39" t="s">
        <v>951</v>
      </c>
      <c r="Z25" s="22" t="s">
        <v>225</v>
      </c>
      <c r="AA25" s="34">
        <v>6.9761067E7</v>
      </c>
      <c r="AB25" s="34" t="s">
        <v>952</v>
      </c>
      <c r="AC25" s="38" t="s">
        <v>227</v>
      </c>
      <c r="AD25" s="24" t="s">
        <v>278</v>
      </c>
      <c r="AE25" s="34" t="s">
        <v>939</v>
      </c>
      <c r="AF25" s="34" t="s">
        <v>953</v>
      </c>
      <c r="AG25" s="29" t="s">
        <v>954</v>
      </c>
      <c r="AH25" s="39" t="s">
        <v>955</v>
      </c>
      <c r="AI25" s="22" t="s">
        <v>225</v>
      </c>
      <c r="AJ25" s="34">
        <v>7.5966684E7</v>
      </c>
      <c r="AK25" s="34" t="s">
        <v>956</v>
      </c>
      <c r="AL25" s="38" t="s">
        <v>227</v>
      </c>
      <c r="AM25" s="24" t="s">
        <v>438</v>
      </c>
      <c r="AN25" s="34" t="s">
        <v>957</v>
      </c>
      <c r="AO25" s="34" t="s">
        <v>958</v>
      </c>
      <c r="AP25" s="29" t="s">
        <v>959</v>
      </c>
      <c r="AQ25" s="39" t="s">
        <v>960</v>
      </c>
      <c r="AR25" s="39" t="s">
        <v>238</v>
      </c>
      <c r="AS25" s="34">
        <v>7.7633144E7</v>
      </c>
      <c r="AT25" s="34" t="s">
        <v>961</v>
      </c>
      <c r="AU25" s="38" t="s">
        <v>227</v>
      </c>
      <c r="AV25" s="40" t="s">
        <v>300</v>
      </c>
      <c r="AW25" s="34" t="s">
        <v>962</v>
      </c>
      <c r="AX25" s="34" t="s">
        <v>963</v>
      </c>
      <c r="AY25" s="29" t="s">
        <v>964</v>
      </c>
      <c r="AZ25" s="39" t="s">
        <v>965</v>
      </c>
      <c r="BA25" s="22" t="s">
        <v>225</v>
      </c>
      <c r="BB25" s="34">
        <v>6.753655E7</v>
      </c>
      <c r="BC25" s="34" t="s">
        <v>966</v>
      </c>
      <c r="BD25" s="38" t="s">
        <v>227</v>
      </c>
      <c r="BE25" s="22" t="s">
        <v>967</v>
      </c>
      <c r="BF25" s="34" t="s">
        <v>968</v>
      </c>
      <c r="BG25" s="34" t="s">
        <v>940</v>
      </c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41"/>
      <c r="EX25" s="41"/>
      <c r="EY25" s="41"/>
      <c r="EZ25" s="41"/>
      <c r="FA25" s="41"/>
      <c r="FB25" s="41"/>
      <c r="FC25" s="41"/>
      <c r="FD25" s="41"/>
      <c r="FE25" s="41"/>
      <c r="FF25" s="41"/>
      <c r="FG25" s="41"/>
      <c r="FH25" s="41"/>
      <c r="FI25" s="41"/>
      <c r="FJ25" s="41"/>
      <c r="FK25" s="41"/>
      <c r="FL25" s="41"/>
      <c r="FM25" s="41"/>
      <c r="FN25" s="41"/>
      <c r="FO25" s="41"/>
      <c r="FP25" s="41"/>
      <c r="FQ25" s="41"/>
      <c r="FR25" s="41"/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/>
      <c r="GG25" s="41"/>
      <c r="GH25" s="41"/>
      <c r="GI25" s="41"/>
      <c r="GJ25" s="41"/>
      <c r="GK25" s="41"/>
      <c r="GL25" s="41"/>
      <c r="GM25" s="41"/>
      <c r="GN25" s="41"/>
      <c r="GO25" s="41"/>
      <c r="GP25" s="41"/>
      <c r="GQ25" s="41"/>
      <c r="GR25" s="41"/>
      <c r="GS25" s="41"/>
      <c r="GT25" s="41"/>
      <c r="GU25" s="41"/>
      <c r="GV25" s="41"/>
      <c r="GW25" s="41"/>
      <c r="GX25" s="41"/>
      <c r="GY25" s="41"/>
    </row>
    <row r="26" ht="22.5" customHeight="1">
      <c r="A26" s="69">
        <v>45921.792791388885</v>
      </c>
      <c r="B26" s="70" t="s">
        <v>969</v>
      </c>
      <c r="C26" s="70" t="s">
        <v>970</v>
      </c>
      <c r="D26" s="70" t="s">
        <v>215</v>
      </c>
      <c r="E26" s="47" t="s">
        <v>971</v>
      </c>
      <c r="F26" s="47" t="s">
        <v>972</v>
      </c>
      <c r="G26" s="70" t="s">
        <v>973</v>
      </c>
      <c r="H26" s="70">
        <v>7.5276873E7</v>
      </c>
      <c r="I26" s="70" t="s">
        <v>974</v>
      </c>
      <c r="J26" s="70" t="s">
        <v>975</v>
      </c>
      <c r="K26" s="70">
        <v>7099385.0</v>
      </c>
      <c r="L26" s="71" t="s">
        <v>438</v>
      </c>
      <c r="M26" s="70" t="s">
        <v>976</v>
      </c>
      <c r="N26" s="70" t="s">
        <v>977</v>
      </c>
      <c r="O26" s="72" t="s">
        <v>978</v>
      </c>
      <c r="P26" s="73" t="s">
        <v>979</v>
      </c>
      <c r="Q26" s="73" t="s">
        <v>238</v>
      </c>
      <c r="R26" s="70">
        <v>7.3048045E7</v>
      </c>
      <c r="S26" s="70" t="s">
        <v>980</v>
      </c>
      <c r="T26" s="74" t="s">
        <v>227</v>
      </c>
      <c r="U26" s="75" t="s">
        <v>947</v>
      </c>
      <c r="V26" s="70" t="s">
        <v>981</v>
      </c>
      <c r="W26" s="70" t="s">
        <v>982</v>
      </c>
      <c r="X26" s="72" t="s">
        <v>983</v>
      </c>
      <c r="Y26" s="73" t="s">
        <v>984</v>
      </c>
      <c r="Z26" s="76" t="s">
        <v>238</v>
      </c>
      <c r="AA26" s="70">
        <v>6.7135813E7</v>
      </c>
      <c r="AB26" s="70" t="s">
        <v>985</v>
      </c>
      <c r="AC26" s="74" t="s">
        <v>227</v>
      </c>
      <c r="AD26" s="73" t="s">
        <v>404</v>
      </c>
      <c r="AE26" s="70" t="s">
        <v>986</v>
      </c>
      <c r="AF26" s="70" t="s">
        <v>987</v>
      </c>
      <c r="AG26" s="72" t="s">
        <v>988</v>
      </c>
      <c r="AH26" s="73" t="s">
        <v>989</v>
      </c>
      <c r="AI26" s="73" t="s">
        <v>238</v>
      </c>
      <c r="AJ26" s="70">
        <v>7.7787014E7</v>
      </c>
      <c r="AK26" s="70" t="s">
        <v>990</v>
      </c>
      <c r="AL26" s="74" t="s">
        <v>227</v>
      </c>
      <c r="AM26" s="77" t="s">
        <v>354</v>
      </c>
      <c r="AN26" s="70" t="s">
        <v>973</v>
      </c>
      <c r="AO26" s="70" t="s">
        <v>991</v>
      </c>
      <c r="AP26" s="72" t="s">
        <v>992</v>
      </c>
      <c r="AQ26" s="73" t="s">
        <v>984</v>
      </c>
      <c r="AR26" s="73" t="s">
        <v>238</v>
      </c>
      <c r="AS26" s="70">
        <v>7.5276873E7</v>
      </c>
      <c r="AT26" s="70" t="s">
        <v>975</v>
      </c>
      <c r="AU26" s="74" t="s">
        <v>227</v>
      </c>
      <c r="AV26" s="75" t="s">
        <v>278</v>
      </c>
      <c r="AW26" s="70" t="s">
        <v>993</v>
      </c>
      <c r="AX26" s="70" t="s">
        <v>994</v>
      </c>
      <c r="AY26" s="72" t="s">
        <v>995</v>
      </c>
      <c r="AZ26" s="73" t="s">
        <v>989</v>
      </c>
      <c r="BA26" s="73" t="s">
        <v>238</v>
      </c>
      <c r="BB26" s="70">
        <v>7.5280749E7</v>
      </c>
      <c r="BC26" s="70" t="s">
        <v>996</v>
      </c>
      <c r="BD26" s="74" t="s">
        <v>227</v>
      </c>
      <c r="BE26" s="78" t="s">
        <v>997</v>
      </c>
      <c r="BF26" s="70" t="s">
        <v>998</v>
      </c>
      <c r="BG26" s="70" t="s">
        <v>974</v>
      </c>
      <c r="BH26" s="79"/>
      <c r="BI26" s="79"/>
      <c r="BJ26" s="79"/>
      <c r="BK26" s="79"/>
      <c r="BL26" s="79"/>
      <c r="BM26" s="79"/>
      <c r="BN26" s="79"/>
      <c r="BO26" s="79"/>
      <c r="BP26" s="79"/>
      <c r="BQ26" s="79"/>
      <c r="BR26" s="79"/>
      <c r="BS26" s="79"/>
      <c r="BT26" s="79"/>
      <c r="BU26" s="79"/>
      <c r="BV26" s="79"/>
      <c r="BW26" s="79"/>
      <c r="BX26" s="79"/>
      <c r="BY26" s="79"/>
      <c r="BZ26" s="79"/>
      <c r="CA26" s="79"/>
      <c r="CB26" s="79"/>
      <c r="CC26" s="79"/>
      <c r="CD26" s="79"/>
      <c r="CE26" s="79"/>
      <c r="CF26" s="79"/>
      <c r="CG26" s="79"/>
      <c r="CH26" s="79"/>
      <c r="CI26" s="79"/>
      <c r="CJ26" s="79"/>
      <c r="CK26" s="79"/>
      <c r="CL26" s="79"/>
      <c r="CM26" s="79"/>
      <c r="CN26" s="79"/>
      <c r="CO26" s="79"/>
      <c r="CP26" s="79"/>
      <c r="CQ26" s="79"/>
      <c r="CR26" s="79"/>
      <c r="CS26" s="79"/>
      <c r="CT26" s="79"/>
      <c r="CU26" s="79"/>
      <c r="CV26" s="79"/>
      <c r="CW26" s="79"/>
      <c r="CX26" s="79"/>
      <c r="CY26" s="79"/>
      <c r="CZ26" s="79"/>
      <c r="DA26" s="79"/>
      <c r="DB26" s="79"/>
      <c r="DC26" s="79"/>
      <c r="DD26" s="79"/>
      <c r="DE26" s="79"/>
      <c r="DF26" s="79"/>
      <c r="DG26" s="79"/>
      <c r="DH26" s="79"/>
      <c r="DI26" s="79"/>
      <c r="DJ26" s="79"/>
      <c r="DK26" s="79"/>
      <c r="DL26" s="79"/>
      <c r="DM26" s="79"/>
      <c r="DN26" s="79"/>
      <c r="DO26" s="79"/>
      <c r="DP26" s="79"/>
      <c r="DQ26" s="79"/>
      <c r="DR26" s="79"/>
      <c r="DS26" s="79"/>
      <c r="DT26" s="79"/>
      <c r="DU26" s="79"/>
      <c r="DV26" s="79"/>
      <c r="DW26" s="79"/>
      <c r="DX26" s="79"/>
      <c r="DY26" s="79"/>
      <c r="DZ26" s="79"/>
      <c r="EA26" s="79"/>
      <c r="EB26" s="79"/>
      <c r="EC26" s="79"/>
      <c r="ED26" s="79"/>
      <c r="EE26" s="79"/>
      <c r="EF26" s="79"/>
      <c r="EG26" s="79"/>
      <c r="EH26" s="79"/>
      <c r="EI26" s="79"/>
      <c r="EJ26" s="79"/>
      <c r="EK26" s="79"/>
      <c r="EL26" s="79"/>
      <c r="EM26" s="79"/>
      <c r="EN26" s="79"/>
      <c r="EO26" s="79"/>
      <c r="EP26" s="79"/>
      <c r="EQ26" s="79"/>
      <c r="ER26" s="79"/>
      <c r="ES26" s="79"/>
      <c r="ET26" s="79"/>
      <c r="EU26" s="79"/>
      <c r="EV26" s="79"/>
      <c r="EW26" s="79"/>
      <c r="EX26" s="79"/>
      <c r="EY26" s="79"/>
      <c r="EZ26" s="79"/>
      <c r="FA26" s="79"/>
      <c r="FB26" s="79"/>
      <c r="FC26" s="79"/>
      <c r="FD26" s="79"/>
      <c r="FE26" s="79"/>
      <c r="FF26" s="79"/>
      <c r="FG26" s="79"/>
      <c r="FH26" s="79"/>
      <c r="FI26" s="79"/>
      <c r="FJ26" s="79"/>
      <c r="FK26" s="79"/>
      <c r="FL26" s="79"/>
      <c r="FM26" s="79"/>
      <c r="FN26" s="79"/>
      <c r="FO26" s="79"/>
      <c r="FP26" s="79"/>
      <c r="FQ26" s="79"/>
      <c r="FR26" s="79"/>
      <c r="FS26" s="79"/>
      <c r="FT26" s="79"/>
      <c r="FU26" s="79"/>
      <c r="FV26" s="79"/>
      <c r="FW26" s="79"/>
      <c r="FX26" s="79"/>
      <c r="FY26" s="79"/>
      <c r="FZ26" s="79"/>
      <c r="GA26" s="79"/>
      <c r="GB26" s="79"/>
      <c r="GC26" s="79"/>
      <c r="GD26" s="79"/>
      <c r="GE26" s="79"/>
      <c r="GF26" s="79"/>
      <c r="GG26" s="79"/>
      <c r="GH26" s="79"/>
      <c r="GI26" s="79"/>
      <c r="GJ26" s="79"/>
      <c r="GK26" s="79"/>
      <c r="GL26" s="79"/>
      <c r="GM26" s="79"/>
      <c r="GN26" s="79"/>
      <c r="GO26" s="79"/>
      <c r="GP26" s="79"/>
      <c r="GQ26" s="79"/>
      <c r="GR26" s="79"/>
      <c r="GS26" s="79"/>
      <c r="GT26" s="79"/>
      <c r="GU26" s="79"/>
      <c r="GV26" s="79"/>
      <c r="GW26" s="79"/>
      <c r="GX26" s="79"/>
      <c r="GY26" s="79"/>
      <c r="GZ26" s="80"/>
    </row>
    <row r="27" ht="22.5" customHeight="1">
      <c r="A27" s="65">
        <v>45921.80433158565</v>
      </c>
      <c r="B27" s="34" t="s">
        <v>999</v>
      </c>
      <c r="C27" s="34" t="s">
        <v>1000</v>
      </c>
      <c r="D27" s="34" t="s">
        <v>215</v>
      </c>
      <c r="E27" s="35" t="s">
        <v>1001</v>
      </c>
      <c r="F27" s="35" t="s">
        <v>1002</v>
      </c>
      <c r="G27" s="34" t="s">
        <v>1003</v>
      </c>
      <c r="H27" s="34">
        <v>6.3781374E7</v>
      </c>
      <c r="I27" s="34" t="s">
        <v>1004</v>
      </c>
      <c r="J27" s="34" t="s">
        <v>1005</v>
      </c>
      <c r="K27" s="34">
        <v>9736361.0</v>
      </c>
      <c r="L27" s="20" t="s">
        <v>220</v>
      </c>
      <c r="M27" s="34" t="s">
        <v>1003</v>
      </c>
      <c r="N27" s="34" t="s">
        <v>1006</v>
      </c>
      <c r="O27" s="37" t="s">
        <v>1007</v>
      </c>
      <c r="P27" s="16" t="s">
        <v>1008</v>
      </c>
      <c r="Q27" s="16" t="s">
        <v>238</v>
      </c>
      <c r="R27" s="34">
        <v>6.3781374E7</v>
      </c>
      <c r="S27" s="34" t="s">
        <v>1009</v>
      </c>
      <c r="T27" s="38" t="s">
        <v>227</v>
      </c>
      <c r="U27" s="24" t="s">
        <v>245</v>
      </c>
      <c r="V27" s="34" t="s">
        <v>1010</v>
      </c>
      <c r="W27" s="34" t="s">
        <v>1011</v>
      </c>
      <c r="X27" s="29" t="s">
        <v>1012</v>
      </c>
      <c r="Y27" s="39" t="s">
        <v>1013</v>
      </c>
      <c r="Z27" s="39" t="s">
        <v>238</v>
      </c>
      <c r="AA27" s="34">
        <v>7.9409911E7</v>
      </c>
      <c r="AB27" s="34" t="s">
        <v>1014</v>
      </c>
      <c r="AC27" s="38" t="s">
        <v>227</v>
      </c>
      <c r="AD27" s="24" t="s">
        <v>272</v>
      </c>
      <c r="AE27" s="34" t="s">
        <v>1015</v>
      </c>
      <c r="AF27" s="34" t="s">
        <v>1016</v>
      </c>
      <c r="AG27" s="29" t="s">
        <v>1017</v>
      </c>
      <c r="AH27" s="22" t="s">
        <v>1018</v>
      </c>
      <c r="AI27" s="22" t="s">
        <v>238</v>
      </c>
      <c r="AJ27" s="34">
        <v>6.9861944E7</v>
      </c>
      <c r="AK27" s="34" t="s">
        <v>1019</v>
      </c>
      <c r="AL27" s="38" t="s">
        <v>227</v>
      </c>
      <c r="AM27" s="16" t="s">
        <v>300</v>
      </c>
      <c r="AN27" s="34" t="s">
        <v>1020</v>
      </c>
      <c r="AO27" s="34" t="s">
        <v>1021</v>
      </c>
      <c r="AP27" s="43" t="s">
        <v>1022</v>
      </c>
      <c r="AQ27" s="40" t="s">
        <v>1023</v>
      </c>
      <c r="AR27" s="40" t="s">
        <v>238</v>
      </c>
      <c r="AS27" s="34">
        <v>7.3812857E7</v>
      </c>
      <c r="AT27" s="34" t="s">
        <v>1024</v>
      </c>
      <c r="AU27" s="38" t="s">
        <v>227</v>
      </c>
      <c r="AV27" s="24" t="s">
        <v>228</v>
      </c>
      <c r="AW27" s="34" t="s">
        <v>1025</v>
      </c>
      <c r="AX27" s="34" t="s">
        <v>1026</v>
      </c>
      <c r="AY27" s="29" t="s">
        <v>1027</v>
      </c>
      <c r="AZ27" s="39" t="s">
        <v>1028</v>
      </c>
      <c r="BA27" s="22" t="s">
        <v>238</v>
      </c>
      <c r="BB27" s="34">
        <v>6.2064038E7</v>
      </c>
      <c r="BC27" s="34" t="s">
        <v>1029</v>
      </c>
      <c r="BD27" s="38" t="s">
        <v>227</v>
      </c>
      <c r="BG27" s="34" t="s">
        <v>1030</v>
      </c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</row>
    <row r="28" ht="22.5" customHeight="1">
      <c r="A28" s="65">
        <v>45921.81238021991</v>
      </c>
      <c r="B28" s="34" t="s">
        <v>1031</v>
      </c>
      <c r="C28" s="34" t="s">
        <v>1032</v>
      </c>
      <c r="D28" s="34" t="s">
        <v>225</v>
      </c>
      <c r="E28" s="35" t="s">
        <v>1033</v>
      </c>
      <c r="G28" s="34" t="s">
        <v>1034</v>
      </c>
      <c r="H28" s="34">
        <v>7.8671672E7</v>
      </c>
      <c r="I28" s="34" t="s">
        <v>1035</v>
      </c>
      <c r="J28" s="34" t="s">
        <v>1036</v>
      </c>
      <c r="K28" s="34">
        <v>9670678.0</v>
      </c>
      <c r="L28" s="67" t="s">
        <v>320</v>
      </c>
      <c r="M28" s="34" t="s">
        <v>1037</v>
      </c>
      <c r="N28" s="34" t="s">
        <v>1038</v>
      </c>
      <c r="O28" s="35" t="s">
        <v>1039</v>
      </c>
      <c r="P28" s="34" t="s">
        <v>1040</v>
      </c>
      <c r="Q28" s="34" t="s">
        <v>238</v>
      </c>
      <c r="R28" s="34">
        <v>7.8671672E7</v>
      </c>
      <c r="S28" s="34" t="s">
        <v>1036</v>
      </c>
      <c r="T28" s="38" t="s">
        <v>227</v>
      </c>
      <c r="U28" s="34" t="s">
        <v>220</v>
      </c>
      <c r="V28" s="34" t="s">
        <v>1041</v>
      </c>
      <c r="W28" s="34" t="s">
        <v>1042</v>
      </c>
      <c r="X28" s="37" t="s">
        <v>1043</v>
      </c>
      <c r="Y28" s="16" t="s">
        <v>1044</v>
      </c>
      <c r="Z28" s="16" t="s">
        <v>238</v>
      </c>
      <c r="AA28" s="34">
        <v>7.8698042E7</v>
      </c>
      <c r="AB28" s="34" t="s">
        <v>1045</v>
      </c>
      <c r="AC28" s="38" t="s">
        <v>227</v>
      </c>
      <c r="AD28" s="34" t="s">
        <v>260</v>
      </c>
      <c r="AE28" s="34" t="s">
        <v>1046</v>
      </c>
      <c r="AF28" s="34" t="s">
        <v>1047</v>
      </c>
      <c r="AG28" s="29" t="s">
        <v>1048</v>
      </c>
      <c r="AH28" s="39" t="s">
        <v>1049</v>
      </c>
      <c r="AI28" s="39" t="s">
        <v>238</v>
      </c>
      <c r="AJ28" s="34">
        <v>7.6110602E7</v>
      </c>
      <c r="AL28" s="38" t="s">
        <v>227</v>
      </c>
      <c r="AM28" s="34" t="s">
        <v>722</v>
      </c>
      <c r="AN28" s="34" t="s">
        <v>1050</v>
      </c>
      <c r="AO28" s="34" t="s">
        <v>1051</v>
      </c>
      <c r="AP28" s="35" t="s">
        <v>1052</v>
      </c>
      <c r="AQ28" s="34" t="s">
        <v>1049</v>
      </c>
      <c r="AR28" s="34" t="s">
        <v>225</v>
      </c>
      <c r="AS28" s="34">
        <v>7.5437591E7</v>
      </c>
      <c r="AU28" s="38" t="s">
        <v>227</v>
      </c>
      <c r="AV28" s="34" t="s">
        <v>278</v>
      </c>
      <c r="AW28" s="34" t="s">
        <v>1053</v>
      </c>
      <c r="AX28" s="34" t="s">
        <v>1054</v>
      </c>
      <c r="AY28" s="35" t="s">
        <v>1055</v>
      </c>
      <c r="AZ28" s="34" t="s">
        <v>1056</v>
      </c>
      <c r="BA28" s="34" t="s">
        <v>238</v>
      </c>
      <c r="BB28" s="34">
        <v>7.5787924E7</v>
      </c>
      <c r="BD28" s="38" t="s">
        <v>227</v>
      </c>
      <c r="BG28" s="34" t="s">
        <v>1035</v>
      </c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  <c r="GO28" s="41"/>
      <c r="GP28" s="41"/>
      <c r="GQ28" s="41"/>
      <c r="GR28" s="41"/>
      <c r="GS28" s="41"/>
      <c r="GT28" s="41"/>
      <c r="GU28" s="41"/>
      <c r="GV28" s="41"/>
      <c r="GW28" s="41"/>
      <c r="GX28" s="41"/>
      <c r="GY28" s="41"/>
    </row>
    <row r="29" ht="22.5" customHeight="1">
      <c r="A29" s="65">
        <v>45921.83112229167</v>
      </c>
      <c r="B29" s="34" t="s">
        <v>1057</v>
      </c>
      <c r="C29" s="34" t="s">
        <v>1058</v>
      </c>
      <c r="D29" s="34" t="s">
        <v>215</v>
      </c>
      <c r="E29" s="35" t="s">
        <v>1059</v>
      </c>
      <c r="F29" s="35" t="s">
        <v>1060</v>
      </c>
      <c r="G29" s="34" t="s">
        <v>1061</v>
      </c>
      <c r="H29" s="34">
        <v>6.947088E7</v>
      </c>
      <c r="I29" s="34" t="s">
        <v>1062</v>
      </c>
      <c r="J29" s="34" t="s">
        <v>1063</v>
      </c>
      <c r="K29" s="34">
        <v>9478439.0</v>
      </c>
      <c r="L29" s="36" t="s">
        <v>438</v>
      </c>
      <c r="M29" s="34" t="s">
        <v>1064</v>
      </c>
      <c r="N29" s="34" t="s">
        <v>1065</v>
      </c>
      <c r="O29" s="37" t="s">
        <v>1066</v>
      </c>
      <c r="P29" s="16" t="s">
        <v>1067</v>
      </c>
      <c r="Q29" s="16" t="s">
        <v>238</v>
      </c>
      <c r="R29" s="34" t="s">
        <v>1068</v>
      </c>
      <c r="S29" s="34" t="s">
        <v>1069</v>
      </c>
      <c r="T29" s="38" t="s">
        <v>227</v>
      </c>
      <c r="U29" s="24" t="s">
        <v>826</v>
      </c>
      <c r="V29" s="34" t="s">
        <v>1061</v>
      </c>
      <c r="W29" s="34" t="s">
        <v>1070</v>
      </c>
      <c r="X29" s="37" t="s">
        <v>1071</v>
      </c>
      <c r="Y29" s="16" t="s">
        <v>1072</v>
      </c>
      <c r="Z29" s="16" t="s">
        <v>238</v>
      </c>
      <c r="AA29" s="34">
        <v>6.947088E7</v>
      </c>
      <c r="AB29" s="34" t="s">
        <v>1073</v>
      </c>
      <c r="AC29" s="38" t="s">
        <v>227</v>
      </c>
      <c r="AD29" s="16" t="s">
        <v>220</v>
      </c>
      <c r="AE29" s="34" t="s">
        <v>1074</v>
      </c>
      <c r="AF29" s="34" t="s">
        <v>1075</v>
      </c>
      <c r="AG29" s="37" t="s">
        <v>1076</v>
      </c>
      <c r="AH29" s="16" t="s">
        <v>1077</v>
      </c>
      <c r="AI29" s="16" t="s">
        <v>238</v>
      </c>
      <c r="AJ29" s="34" t="s">
        <v>1078</v>
      </c>
      <c r="AK29" s="34" t="s">
        <v>1079</v>
      </c>
      <c r="AL29" s="38" t="s">
        <v>227</v>
      </c>
      <c r="AM29" s="16" t="s">
        <v>300</v>
      </c>
      <c r="AN29" s="34" t="s">
        <v>1080</v>
      </c>
      <c r="AO29" s="34" t="s">
        <v>1081</v>
      </c>
      <c r="AP29" s="43" t="s">
        <v>1082</v>
      </c>
      <c r="AQ29" s="40" t="s">
        <v>1083</v>
      </c>
      <c r="AR29" s="40" t="s">
        <v>238</v>
      </c>
      <c r="AS29" s="34" t="s">
        <v>1084</v>
      </c>
      <c r="AT29" s="34" t="s">
        <v>1085</v>
      </c>
      <c r="AU29" s="38" t="s">
        <v>227</v>
      </c>
      <c r="AV29" s="40" t="s">
        <v>284</v>
      </c>
      <c r="AW29" s="34" t="s">
        <v>1086</v>
      </c>
      <c r="AX29" s="34" t="s">
        <v>1087</v>
      </c>
      <c r="AY29" s="29" t="s">
        <v>1088</v>
      </c>
      <c r="AZ29" s="39" t="s">
        <v>1089</v>
      </c>
      <c r="BA29" s="39" t="s">
        <v>238</v>
      </c>
      <c r="BB29" s="34" t="s">
        <v>1090</v>
      </c>
      <c r="BC29" s="34" t="s">
        <v>1091</v>
      </c>
      <c r="BD29" s="38" t="s">
        <v>227</v>
      </c>
      <c r="BG29" s="34" t="s">
        <v>1062</v>
      </c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1"/>
      <c r="GU29" s="41"/>
      <c r="GV29" s="41"/>
      <c r="GW29" s="41"/>
      <c r="GX29" s="41"/>
      <c r="GY29" s="41"/>
    </row>
    <row r="30" ht="22.5" customHeight="1">
      <c r="A30" s="65">
        <v>45921.85212148148</v>
      </c>
      <c r="B30" s="34" t="s">
        <v>1092</v>
      </c>
      <c r="C30" s="34" t="s">
        <v>1093</v>
      </c>
      <c r="D30" s="34" t="s">
        <v>215</v>
      </c>
      <c r="E30" s="35" t="s">
        <v>1094</v>
      </c>
      <c r="F30" s="35" t="s">
        <v>1095</v>
      </c>
      <c r="G30" s="34" t="s">
        <v>1096</v>
      </c>
      <c r="H30" s="34">
        <v>6.8476511E7</v>
      </c>
      <c r="I30" s="34" t="s">
        <v>1097</v>
      </c>
      <c r="J30" s="34" t="s">
        <v>1098</v>
      </c>
      <c r="K30" s="34">
        <v>1.3498434E7</v>
      </c>
      <c r="L30" s="36" t="s">
        <v>947</v>
      </c>
      <c r="M30" s="34" t="s">
        <v>1099</v>
      </c>
      <c r="N30" s="34" t="s">
        <v>1100</v>
      </c>
      <c r="O30" s="29" t="s">
        <v>1101</v>
      </c>
      <c r="P30" s="44" t="s">
        <v>1102</v>
      </c>
      <c r="Q30" s="22" t="s">
        <v>238</v>
      </c>
      <c r="R30" s="34">
        <v>6.4102449E7</v>
      </c>
      <c r="S30" s="34" t="s">
        <v>1103</v>
      </c>
      <c r="T30" s="38" t="s">
        <v>227</v>
      </c>
      <c r="U30" s="24" t="s">
        <v>535</v>
      </c>
      <c r="V30" s="34" t="s">
        <v>1104</v>
      </c>
      <c r="W30" s="34" t="s">
        <v>1105</v>
      </c>
      <c r="X30" s="37" t="s">
        <v>1106</v>
      </c>
      <c r="Y30" s="16" t="s">
        <v>1107</v>
      </c>
      <c r="Z30" s="16" t="s">
        <v>238</v>
      </c>
      <c r="AA30" s="34">
        <v>6.9528729E7</v>
      </c>
      <c r="AB30" s="34" t="s">
        <v>1108</v>
      </c>
      <c r="AC30" s="38" t="s">
        <v>227</v>
      </c>
      <c r="AD30" s="24" t="s">
        <v>278</v>
      </c>
      <c r="AE30" s="34" t="s">
        <v>1096</v>
      </c>
      <c r="AF30" s="34" t="s">
        <v>1109</v>
      </c>
      <c r="AG30" s="81" t="s">
        <v>1110</v>
      </c>
      <c r="AH30" s="16" t="s">
        <v>1111</v>
      </c>
      <c r="AI30" s="16" t="s">
        <v>238</v>
      </c>
      <c r="AJ30" s="34">
        <v>6.8476511E7</v>
      </c>
      <c r="AK30" s="34" t="s">
        <v>1098</v>
      </c>
      <c r="AL30" s="38" t="s">
        <v>227</v>
      </c>
      <c r="AM30" s="16" t="s">
        <v>220</v>
      </c>
      <c r="AN30" s="34" t="s">
        <v>1112</v>
      </c>
      <c r="AO30" s="34" t="s">
        <v>1113</v>
      </c>
      <c r="AP30" s="29" t="s">
        <v>1114</v>
      </c>
      <c r="AQ30" s="39" t="s">
        <v>1115</v>
      </c>
      <c r="AR30" s="39" t="s">
        <v>238</v>
      </c>
      <c r="AS30" s="34">
        <v>6.9828968E7</v>
      </c>
      <c r="AT30" s="34" t="s">
        <v>1116</v>
      </c>
      <c r="AU30" s="38" t="s">
        <v>227</v>
      </c>
      <c r="AV30" s="40" t="s">
        <v>404</v>
      </c>
      <c r="AW30" s="34" t="s">
        <v>1117</v>
      </c>
      <c r="AX30" s="34" t="s">
        <v>1118</v>
      </c>
      <c r="AY30" s="29" t="s">
        <v>1119</v>
      </c>
      <c r="AZ30" s="39" t="s">
        <v>1120</v>
      </c>
      <c r="BA30" s="22" t="s">
        <v>238</v>
      </c>
      <c r="BB30" s="34">
        <v>7.0109009E7</v>
      </c>
      <c r="BC30" s="34" t="s">
        <v>1121</v>
      </c>
      <c r="BD30" s="38" t="s">
        <v>227</v>
      </c>
      <c r="BE30" s="16" t="s">
        <v>1122</v>
      </c>
      <c r="BF30" s="35" t="s">
        <v>1123</v>
      </c>
      <c r="BG30" s="34" t="s">
        <v>1124</v>
      </c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1"/>
      <c r="GG30" s="41"/>
      <c r="GH30" s="41"/>
      <c r="GI30" s="41"/>
      <c r="GJ30" s="41"/>
      <c r="GK30" s="41"/>
      <c r="GL30" s="41"/>
      <c r="GM30" s="41"/>
      <c r="GN30" s="41"/>
      <c r="GO30" s="41"/>
      <c r="GP30" s="41"/>
      <c r="GQ30" s="41"/>
      <c r="GR30" s="41"/>
      <c r="GS30" s="41"/>
      <c r="GT30" s="41"/>
      <c r="GU30" s="41"/>
      <c r="GV30" s="41"/>
      <c r="GW30" s="41"/>
      <c r="GX30" s="41"/>
      <c r="GY30" s="41"/>
    </row>
    <row r="31" ht="22.5" customHeight="1">
      <c r="A31" s="65">
        <v>45921.8560167824</v>
      </c>
      <c r="B31" s="34" t="s">
        <v>1125</v>
      </c>
      <c r="C31" s="34" t="s">
        <v>1126</v>
      </c>
      <c r="D31" s="34" t="s">
        <v>225</v>
      </c>
      <c r="E31" s="35" t="s">
        <v>1127</v>
      </c>
      <c r="G31" s="34" t="s">
        <v>1128</v>
      </c>
      <c r="H31" s="34">
        <v>7.5999942E7</v>
      </c>
      <c r="I31" s="34" t="s">
        <v>1129</v>
      </c>
      <c r="J31" s="34" t="s">
        <v>1130</v>
      </c>
      <c r="K31" s="34">
        <v>1.3752384E7</v>
      </c>
      <c r="L31" s="36" t="s">
        <v>438</v>
      </c>
      <c r="M31" s="34" t="s">
        <v>1131</v>
      </c>
      <c r="N31" s="34" t="s">
        <v>1132</v>
      </c>
      <c r="O31" s="29" t="s">
        <v>1133</v>
      </c>
      <c r="P31" s="39" t="s">
        <v>1134</v>
      </c>
      <c r="Q31" s="39" t="s">
        <v>238</v>
      </c>
      <c r="R31" s="34">
        <v>6.3889237E7</v>
      </c>
      <c r="S31" s="34" t="s">
        <v>1135</v>
      </c>
      <c r="T31" s="38" t="s">
        <v>227</v>
      </c>
      <c r="U31" s="49" t="s">
        <v>475</v>
      </c>
      <c r="V31" s="34" t="s">
        <v>1128</v>
      </c>
      <c r="W31" s="34" t="s">
        <v>1136</v>
      </c>
      <c r="X31" s="21" t="s">
        <v>1137</v>
      </c>
      <c r="Y31" s="16" t="s">
        <v>1072</v>
      </c>
      <c r="Z31" s="39" t="s">
        <v>238</v>
      </c>
      <c r="AA31" s="34">
        <v>7.5999942E7</v>
      </c>
      <c r="AB31" s="34" t="s">
        <v>1130</v>
      </c>
      <c r="AC31" s="38" t="s">
        <v>227</v>
      </c>
      <c r="AD31" s="24" t="s">
        <v>449</v>
      </c>
      <c r="AE31" s="34" t="s">
        <v>1138</v>
      </c>
      <c r="AF31" s="34" t="s">
        <v>1139</v>
      </c>
      <c r="AG31" s="37" t="s">
        <v>1140</v>
      </c>
      <c r="AH31" s="16" t="s">
        <v>1141</v>
      </c>
      <c r="AI31" s="16" t="s">
        <v>238</v>
      </c>
      <c r="AJ31" s="34">
        <v>7.5950906E7</v>
      </c>
      <c r="AK31" s="34" t="s">
        <v>1142</v>
      </c>
      <c r="AL31" s="38" t="s">
        <v>227</v>
      </c>
      <c r="AM31" s="24" t="s">
        <v>1143</v>
      </c>
      <c r="AN31" s="34" t="s">
        <v>1144</v>
      </c>
      <c r="AO31" s="34" t="s">
        <v>1145</v>
      </c>
      <c r="AP31" s="29" t="s">
        <v>1146</v>
      </c>
      <c r="AQ31" s="39" t="s">
        <v>1147</v>
      </c>
      <c r="AR31" s="44" t="s">
        <v>238</v>
      </c>
      <c r="AS31" s="34">
        <v>6.3954129E7</v>
      </c>
      <c r="AT31" s="34" t="s">
        <v>1148</v>
      </c>
      <c r="AU31" s="38" t="s">
        <v>227</v>
      </c>
      <c r="AV31" s="40" t="s">
        <v>320</v>
      </c>
      <c r="AW31" s="34" t="s">
        <v>1149</v>
      </c>
      <c r="AX31" s="34" t="s">
        <v>1150</v>
      </c>
      <c r="AY31" s="29" t="s">
        <v>1151</v>
      </c>
      <c r="AZ31" s="39" t="s">
        <v>1152</v>
      </c>
      <c r="BA31" s="39" t="s">
        <v>238</v>
      </c>
      <c r="BB31" s="34">
        <v>6.76475E7</v>
      </c>
      <c r="BC31" s="34" t="s">
        <v>1153</v>
      </c>
      <c r="BD31" s="38" t="s">
        <v>227</v>
      </c>
      <c r="BE31" s="40" t="s">
        <v>1154</v>
      </c>
      <c r="BG31" s="34" t="s">
        <v>1129</v>
      </c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1"/>
      <c r="GI31" s="41"/>
      <c r="GJ31" s="41"/>
      <c r="GK31" s="41"/>
      <c r="GL31" s="41"/>
      <c r="GM31" s="41"/>
      <c r="GN31" s="41"/>
      <c r="GO31" s="41"/>
      <c r="GP31" s="41"/>
      <c r="GQ31" s="41"/>
      <c r="GR31" s="41"/>
      <c r="GS31" s="41"/>
      <c r="GT31" s="41"/>
      <c r="GU31" s="41"/>
      <c r="GV31" s="41"/>
      <c r="GW31" s="41"/>
      <c r="GX31" s="41"/>
      <c r="GY31" s="41"/>
    </row>
    <row r="32" ht="22.5" customHeight="1">
      <c r="A32" s="65">
        <v>45921.86229048611</v>
      </c>
      <c r="B32" s="34" t="s">
        <v>1155</v>
      </c>
      <c r="C32" s="34" t="s">
        <v>1156</v>
      </c>
      <c r="D32" s="34" t="s">
        <v>215</v>
      </c>
      <c r="E32" s="35" t="s">
        <v>1157</v>
      </c>
      <c r="F32" s="35" t="s">
        <v>1158</v>
      </c>
      <c r="G32" s="34" t="s">
        <v>1159</v>
      </c>
      <c r="H32" s="34">
        <v>6.9804588E7</v>
      </c>
      <c r="I32" s="34" t="s">
        <v>1160</v>
      </c>
      <c r="J32" s="35" t="s">
        <v>1161</v>
      </c>
      <c r="K32" s="34">
        <v>1.3872568E7</v>
      </c>
      <c r="L32" s="20" t="s">
        <v>404</v>
      </c>
      <c r="M32" s="34" t="s">
        <v>1162</v>
      </c>
      <c r="N32" s="34" t="s">
        <v>1163</v>
      </c>
      <c r="O32" s="29" t="s">
        <v>1164</v>
      </c>
      <c r="P32" s="39" t="s">
        <v>1165</v>
      </c>
      <c r="Q32" s="22" t="s">
        <v>238</v>
      </c>
      <c r="R32" s="34">
        <v>6.9804588E7</v>
      </c>
      <c r="S32" s="35" t="s">
        <v>1166</v>
      </c>
      <c r="T32" s="38" t="s">
        <v>227</v>
      </c>
      <c r="U32" s="16" t="s">
        <v>284</v>
      </c>
      <c r="V32" s="34" t="s">
        <v>1167</v>
      </c>
      <c r="W32" s="34" t="s">
        <v>1168</v>
      </c>
      <c r="X32" s="29" t="s">
        <v>1169</v>
      </c>
      <c r="Y32" s="22" t="s">
        <v>1170</v>
      </c>
      <c r="Z32" s="22" t="s">
        <v>238</v>
      </c>
      <c r="AA32" s="34" t="s">
        <v>1171</v>
      </c>
      <c r="AC32" s="38" t="s">
        <v>227</v>
      </c>
      <c r="AD32" s="24" t="s">
        <v>722</v>
      </c>
      <c r="AE32" s="34" t="s">
        <v>1172</v>
      </c>
      <c r="AF32" s="34" t="s">
        <v>1173</v>
      </c>
      <c r="AG32" s="37" t="s">
        <v>1174</v>
      </c>
      <c r="AH32" s="16" t="s">
        <v>1175</v>
      </c>
      <c r="AI32" s="16" t="s">
        <v>238</v>
      </c>
      <c r="AJ32" s="34" t="s">
        <v>1176</v>
      </c>
      <c r="AL32" s="38" t="s">
        <v>227</v>
      </c>
      <c r="AM32" s="24" t="s">
        <v>535</v>
      </c>
      <c r="AN32" s="34" t="s">
        <v>1177</v>
      </c>
      <c r="AO32" s="34" t="s">
        <v>1178</v>
      </c>
      <c r="AP32" s="29" t="s">
        <v>1179</v>
      </c>
      <c r="AQ32" s="39" t="s">
        <v>726</v>
      </c>
      <c r="AR32" s="39" t="s">
        <v>238</v>
      </c>
      <c r="AS32" s="34">
        <v>7.4035781E7</v>
      </c>
      <c r="AU32" s="38" t="s">
        <v>227</v>
      </c>
      <c r="AV32" s="40" t="s">
        <v>300</v>
      </c>
      <c r="AW32" s="34" t="s">
        <v>1180</v>
      </c>
      <c r="AX32" s="34" t="s">
        <v>1181</v>
      </c>
      <c r="AY32" s="29" t="s">
        <v>1182</v>
      </c>
      <c r="AZ32" s="39" t="s">
        <v>1183</v>
      </c>
      <c r="BA32" s="39" t="s">
        <v>238</v>
      </c>
      <c r="BB32" s="34" t="s">
        <v>1184</v>
      </c>
      <c r="BD32" s="38" t="s">
        <v>227</v>
      </c>
      <c r="BE32" s="34" t="s">
        <v>1185</v>
      </c>
      <c r="BF32" s="34" t="s">
        <v>1186</v>
      </c>
      <c r="BG32" s="34" t="s">
        <v>1160</v>
      </c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1"/>
      <c r="DK32" s="41"/>
      <c r="DL32" s="41"/>
      <c r="DM32" s="41"/>
      <c r="DN32" s="41"/>
      <c r="DO32" s="41"/>
      <c r="DP32" s="41"/>
      <c r="DQ32" s="41"/>
      <c r="DR32" s="41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  <c r="GI32" s="41"/>
      <c r="GJ32" s="41"/>
      <c r="GK32" s="41"/>
      <c r="GL32" s="41"/>
      <c r="GM32" s="41"/>
      <c r="GN32" s="41"/>
      <c r="GO32" s="41"/>
      <c r="GP32" s="41"/>
      <c r="GQ32" s="41"/>
      <c r="GR32" s="41"/>
      <c r="GS32" s="41"/>
      <c r="GT32" s="41"/>
      <c r="GU32" s="41"/>
      <c r="GV32" s="41"/>
      <c r="GW32" s="41"/>
      <c r="GX32" s="41"/>
      <c r="GY32" s="41"/>
    </row>
    <row r="33" ht="22.5" customHeight="1">
      <c r="A33" s="65">
        <v>45921.865679131944</v>
      </c>
      <c r="B33" s="34" t="s">
        <v>1187</v>
      </c>
      <c r="C33" s="34" t="s">
        <v>1187</v>
      </c>
      <c r="D33" s="34" t="s">
        <v>215</v>
      </c>
      <c r="E33" s="35" t="s">
        <v>1188</v>
      </c>
      <c r="F33" s="82" t="s">
        <v>1189</v>
      </c>
      <c r="G33" s="34" t="s">
        <v>1190</v>
      </c>
      <c r="H33" s="34">
        <v>7.7211262E7</v>
      </c>
      <c r="I33" s="34" t="s">
        <v>1191</v>
      </c>
      <c r="J33" s="34" t="s">
        <v>1192</v>
      </c>
      <c r="K33" s="34">
        <v>1.305642E7</v>
      </c>
      <c r="L33" s="48" t="s">
        <v>335</v>
      </c>
      <c r="M33" s="34" t="s">
        <v>1193</v>
      </c>
      <c r="N33" s="34" t="s">
        <v>1194</v>
      </c>
      <c r="O33" s="37" t="s">
        <v>1195</v>
      </c>
      <c r="P33" s="16" t="s">
        <v>1196</v>
      </c>
      <c r="Q33" s="16" t="s">
        <v>238</v>
      </c>
      <c r="R33" s="34">
        <v>7.3702175E7</v>
      </c>
      <c r="S33" s="34" t="s">
        <v>1197</v>
      </c>
      <c r="T33" s="38" t="s">
        <v>227</v>
      </c>
      <c r="U33" s="16" t="s">
        <v>284</v>
      </c>
      <c r="V33" s="34" t="s">
        <v>1198</v>
      </c>
      <c r="W33" s="34" t="s">
        <v>1199</v>
      </c>
      <c r="X33" s="29" t="s">
        <v>1200</v>
      </c>
      <c r="Y33" s="39" t="s">
        <v>1201</v>
      </c>
      <c r="Z33" s="39" t="s">
        <v>225</v>
      </c>
      <c r="AA33" s="34">
        <v>7.7211262E7</v>
      </c>
      <c r="AB33" s="34" t="s">
        <v>1192</v>
      </c>
      <c r="AC33" s="38" t="s">
        <v>227</v>
      </c>
      <c r="AD33" s="24" t="s">
        <v>234</v>
      </c>
      <c r="AE33" s="34" t="s">
        <v>1202</v>
      </c>
      <c r="AF33" s="34" t="s">
        <v>1203</v>
      </c>
      <c r="AG33" s="37" t="s">
        <v>1204</v>
      </c>
      <c r="AH33" s="16" t="s">
        <v>1205</v>
      </c>
      <c r="AI33" s="16" t="s">
        <v>238</v>
      </c>
      <c r="AJ33" s="34">
        <v>6.7112418E7</v>
      </c>
      <c r="AK33" s="34" t="s">
        <v>1206</v>
      </c>
      <c r="AL33" s="38" t="s">
        <v>227</v>
      </c>
      <c r="AM33" s="24" t="s">
        <v>826</v>
      </c>
      <c r="AN33" s="34" t="s">
        <v>1207</v>
      </c>
      <c r="AO33" s="34" t="s">
        <v>1208</v>
      </c>
      <c r="AP33" s="43" t="s">
        <v>1209</v>
      </c>
      <c r="AQ33" s="40" t="s">
        <v>1210</v>
      </c>
      <c r="AR33" s="40" t="s">
        <v>238</v>
      </c>
      <c r="AS33" s="34">
        <v>6.9787392E7</v>
      </c>
      <c r="AT33" s="34" t="s">
        <v>1211</v>
      </c>
      <c r="AU33" s="38" t="s">
        <v>227</v>
      </c>
      <c r="AV33" s="49" t="s">
        <v>359</v>
      </c>
      <c r="AW33" s="34" t="s">
        <v>1212</v>
      </c>
      <c r="AX33" s="34" t="s">
        <v>1213</v>
      </c>
      <c r="AY33" s="29" t="s">
        <v>1214</v>
      </c>
      <c r="AZ33" s="39" t="s">
        <v>1196</v>
      </c>
      <c r="BA33" s="22" t="s">
        <v>238</v>
      </c>
      <c r="BB33" s="34">
        <v>6.9754215E7</v>
      </c>
      <c r="BC33" s="34" t="s">
        <v>1215</v>
      </c>
      <c r="BD33" s="38" t="s">
        <v>227</v>
      </c>
      <c r="BE33" s="40" t="s">
        <v>1216</v>
      </c>
      <c r="BF33" s="35" t="s">
        <v>1217</v>
      </c>
      <c r="BG33" s="34" t="s">
        <v>1191</v>
      </c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1"/>
      <c r="DQ33" s="41"/>
      <c r="DR33" s="41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GE33" s="41"/>
      <c r="GF33" s="41"/>
      <c r="GG33" s="41"/>
      <c r="GH33" s="41"/>
      <c r="GI33" s="41"/>
      <c r="GJ33" s="41"/>
      <c r="GK33" s="41"/>
      <c r="GL33" s="41"/>
      <c r="GM33" s="41"/>
      <c r="GN33" s="41"/>
      <c r="GO33" s="41"/>
      <c r="GP33" s="41"/>
      <c r="GQ33" s="41"/>
      <c r="GR33" s="41"/>
      <c r="GS33" s="41"/>
      <c r="GT33" s="41"/>
      <c r="GU33" s="41"/>
      <c r="GV33" s="41"/>
      <c r="GW33" s="41"/>
      <c r="GX33" s="41"/>
      <c r="GY33" s="41"/>
    </row>
    <row r="34" ht="22.5" customHeight="1">
      <c r="A34" s="65">
        <v>45921.87692925926</v>
      </c>
      <c r="B34" s="34" t="s">
        <v>1218</v>
      </c>
      <c r="C34" s="70" t="s">
        <v>1219</v>
      </c>
      <c r="D34" s="34" t="s">
        <v>215</v>
      </c>
      <c r="E34" s="35" t="s">
        <v>1220</v>
      </c>
      <c r="F34" s="35" t="s">
        <v>1221</v>
      </c>
      <c r="G34" s="34" t="s">
        <v>1222</v>
      </c>
      <c r="H34" s="34">
        <v>7.0328957E7</v>
      </c>
      <c r="I34" s="34" t="s">
        <v>1223</v>
      </c>
      <c r="J34" s="34" t="s">
        <v>1224</v>
      </c>
      <c r="K34" s="34">
        <v>1.0422227E7</v>
      </c>
      <c r="L34" s="20" t="s">
        <v>284</v>
      </c>
      <c r="M34" s="34" t="s">
        <v>1225</v>
      </c>
      <c r="N34" s="34" t="s">
        <v>1226</v>
      </c>
      <c r="O34" s="37" t="s">
        <v>1227</v>
      </c>
      <c r="P34" s="16" t="s">
        <v>1228</v>
      </c>
      <c r="Q34" s="16" t="s">
        <v>238</v>
      </c>
      <c r="R34" s="34">
        <v>6.7658112E7</v>
      </c>
      <c r="S34" s="34" t="s">
        <v>1229</v>
      </c>
      <c r="T34" s="38" t="s">
        <v>227</v>
      </c>
      <c r="U34" s="49" t="s">
        <v>266</v>
      </c>
      <c r="V34" s="34" t="s">
        <v>1230</v>
      </c>
      <c r="W34" s="34" t="s">
        <v>1231</v>
      </c>
      <c r="X34" s="37" t="s">
        <v>1232</v>
      </c>
      <c r="Y34" s="16" t="s">
        <v>1233</v>
      </c>
      <c r="Z34" s="16" t="s">
        <v>238</v>
      </c>
      <c r="AA34" s="34">
        <v>7.611175E7</v>
      </c>
      <c r="AB34" s="34" t="s">
        <v>1234</v>
      </c>
      <c r="AC34" s="38" t="s">
        <v>227</v>
      </c>
      <c r="AD34" s="24" t="s">
        <v>797</v>
      </c>
      <c r="AE34" s="34" t="s">
        <v>1222</v>
      </c>
      <c r="AF34" s="34" t="s">
        <v>1235</v>
      </c>
      <c r="AG34" s="29" t="s">
        <v>1236</v>
      </c>
      <c r="AH34" s="39" t="s">
        <v>895</v>
      </c>
      <c r="AI34" s="39" t="s">
        <v>238</v>
      </c>
      <c r="AJ34" s="34">
        <v>7.0328957E7</v>
      </c>
      <c r="AK34" s="34" t="s">
        <v>1224</v>
      </c>
      <c r="AL34" s="38" t="s">
        <v>227</v>
      </c>
      <c r="AM34" s="16" t="s">
        <v>380</v>
      </c>
      <c r="AN34" s="34" t="s">
        <v>1237</v>
      </c>
      <c r="AO34" s="34" t="s">
        <v>1238</v>
      </c>
      <c r="AP34" s="43" t="s">
        <v>1239</v>
      </c>
      <c r="AQ34" s="40" t="s">
        <v>1233</v>
      </c>
      <c r="AR34" s="40" t="s">
        <v>238</v>
      </c>
      <c r="AS34" s="34">
        <v>6.7635358E7</v>
      </c>
      <c r="AT34" s="34" t="s">
        <v>1240</v>
      </c>
      <c r="AU34" s="38" t="s">
        <v>227</v>
      </c>
      <c r="AV34" s="40" t="s">
        <v>284</v>
      </c>
      <c r="AW34" s="34" t="s">
        <v>1241</v>
      </c>
      <c r="AX34" s="34" t="s">
        <v>1242</v>
      </c>
      <c r="AY34" s="29" t="s">
        <v>1243</v>
      </c>
      <c r="AZ34" s="39" t="s">
        <v>1244</v>
      </c>
      <c r="BA34" s="22" t="s">
        <v>238</v>
      </c>
      <c r="BB34" s="34">
        <v>6.2900028E7</v>
      </c>
      <c r="BC34" s="34" t="s">
        <v>1245</v>
      </c>
      <c r="BD34" s="38" t="s">
        <v>227</v>
      </c>
      <c r="BE34" s="39" t="s">
        <v>1246</v>
      </c>
      <c r="BF34" s="34" t="s">
        <v>1247</v>
      </c>
      <c r="BG34" s="34" t="s">
        <v>1248</v>
      </c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1"/>
      <c r="DI34" s="41"/>
      <c r="DJ34" s="41"/>
      <c r="DK34" s="41"/>
      <c r="DL34" s="41"/>
      <c r="DM34" s="41"/>
      <c r="DN34" s="41"/>
      <c r="DO34" s="41"/>
      <c r="DP34" s="41"/>
      <c r="DQ34" s="41"/>
      <c r="DR34" s="41"/>
      <c r="DS34" s="41"/>
      <c r="DT34" s="41"/>
      <c r="DU34" s="41"/>
      <c r="DV34" s="41"/>
      <c r="DW34" s="41"/>
      <c r="DX34" s="41"/>
      <c r="DY34" s="41"/>
      <c r="DZ34" s="41"/>
      <c r="EA34" s="41"/>
      <c r="EB34" s="41"/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41"/>
      <c r="EW34" s="41"/>
      <c r="EX34" s="41"/>
      <c r="EY34" s="41"/>
      <c r="EZ34" s="41"/>
      <c r="FA34" s="41"/>
      <c r="FB34" s="41"/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1"/>
      <c r="GA34" s="41"/>
      <c r="GB34" s="41"/>
      <c r="GC34" s="41"/>
      <c r="GD34" s="41"/>
      <c r="GE34" s="41"/>
      <c r="GF34" s="41"/>
      <c r="GG34" s="41"/>
      <c r="GH34" s="41"/>
      <c r="GI34" s="41"/>
      <c r="GJ34" s="41"/>
      <c r="GK34" s="41"/>
      <c r="GL34" s="41"/>
      <c r="GM34" s="41"/>
      <c r="GN34" s="41"/>
      <c r="GO34" s="41"/>
      <c r="GP34" s="41"/>
      <c r="GQ34" s="41"/>
      <c r="GR34" s="41"/>
      <c r="GS34" s="41"/>
      <c r="GT34" s="41"/>
      <c r="GU34" s="41"/>
      <c r="GV34" s="41"/>
      <c r="GW34" s="41"/>
      <c r="GX34" s="41"/>
      <c r="GY34" s="41"/>
    </row>
    <row r="35" ht="22.5" customHeight="1">
      <c r="A35" s="83">
        <v>45921.87700466435</v>
      </c>
      <c r="B35" s="34" t="s">
        <v>1249</v>
      </c>
      <c r="C35" s="34" t="s">
        <v>1250</v>
      </c>
      <c r="D35" s="34" t="s">
        <v>215</v>
      </c>
      <c r="E35" s="35" t="s">
        <v>1251</v>
      </c>
      <c r="F35" s="35" t="s">
        <v>1252</v>
      </c>
      <c r="G35" s="34" t="s">
        <v>1253</v>
      </c>
      <c r="H35" s="34">
        <v>6.3144818E7</v>
      </c>
      <c r="I35" s="34" t="s">
        <v>1254</v>
      </c>
      <c r="J35" s="34" t="s">
        <v>1255</v>
      </c>
      <c r="K35" s="34">
        <v>1.2544775E7</v>
      </c>
      <c r="L35" s="20" t="s">
        <v>220</v>
      </c>
      <c r="M35" s="34" t="s">
        <v>1256</v>
      </c>
      <c r="N35" s="34" t="s">
        <v>1257</v>
      </c>
      <c r="O35" s="29" t="s">
        <v>1258</v>
      </c>
      <c r="P35" s="84"/>
      <c r="Q35" s="39" t="s">
        <v>238</v>
      </c>
      <c r="R35" s="34">
        <v>6.8029059E7</v>
      </c>
      <c r="T35" s="38" t="s">
        <v>227</v>
      </c>
      <c r="U35" s="24" t="s">
        <v>449</v>
      </c>
      <c r="V35" s="34" t="s">
        <v>1253</v>
      </c>
      <c r="W35" s="34" t="s">
        <v>1259</v>
      </c>
      <c r="X35" s="21" t="s">
        <v>1260</v>
      </c>
      <c r="Y35" s="34" t="s">
        <v>1261</v>
      </c>
      <c r="Z35" s="39" t="s">
        <v>238</v>
      </c>
      <c r="AA35" s="34">
        <v>6.3144818E7</v>
      </c>
      <c r="AB35" s="34" t="s">
        <v>1255</v>
      </c>
      <c r="AC35" s="38" t="s">
        <v>227</v>
      </c>
      <c r="AD35" s="16" t="s">
        <v>380</v>
      </c>
      <c r="AE35" s="34" t="s">
        <v>1262</v>
      </c>
      <c r="AF35" s="34" t="s">
        <v>1263</v>
      </c>
      <c r="AG35" s="21" t="s">
        <v>1264</v>
      </c>
      <c r="AH35" s="39" t="s">
        <v>1261</v>
      </c>
      <c r="AI35" s="55" t="s">
        <v>225</v>
      </c>
      <c r="AL35" s="38" t="s">
        <v>227</v>
      </c>
      <c r="AM35" s="16" t="s">
        <v>284</v>
      </c>
      <c r="AN35" s="34" t="s">
        <v>1265</v>
      </c>
      <c r="AO35" s="34" t="s">
        <v>1266</v>
      </c>
      <c r="AP35" s="21" t="s">
        <v>1267</v>
      </c>
      <c r="AR35" s="22" t="s">
        <v>225</v>
      </c>
      <c r="AU35" s="38" t="s">
        <v>227</v>
      </c>
      <c r="AV35" s="40" t="s">
        <v>284</v>
      </c>
      <c r="AW35" s="34" t="s">
        <v>1268</v>
      </c>
      <c r="AX35" s="34" t="s">
        <v>1269</v>
      </c>
      <c r="AY35" s="29" t="s">
        <v>1270</v>
      </c>
      <c r="AZ35" s="85"/>
      <c r="BA35" s="22" t="s">
        <v>238</v>
      </c>
      <c r="BD35" s="38" t="s">
        <v>227</v>
      </c>
      <c r="BE35" s="39" t="s">
        <v>1271</v>
      </c>
      <c r="BG35" s="34" t="s">
        <v>1272</v>
      </c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1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  <c r="GI35" s="41"/>
      <c r="GJ35" s="41"/>
      <c r="GK35" s="41"/>
      <c r="GL35" s="41"/>
      <c r="GM35" s="41"/>
      <c r="GN35" s="41"/>
      <c r="GO35" s="41"/>
      <c r="GP35" s="41"/>
      <c r="GQ35" s="41"/>
      <c r="GR35" s="41"/>
      <c r="GS35" s="41"/>
      <c r="GT35" s="41"/>
      <c r="GU35" s="41"/>
      <c r="GV35" s="41"/>
      <c r="GW35" s="41"/>
      <c r="GX35" s="41"/>
      <c r="GY35" s="41"/>
    </row>
    <row r="36" ht="22.5" customHeight="1">
      <c r="A36" s="65">
        <v>45921.89186771991</v>
      </c>
      <c r="B36" s="34" t="s">
        <v>1273</v>
      </c>
      <c r="C36" s="34" t="s">
        <v>1274</v>
      </c>
      <c r="D36" s="34" t="s">
        <v>225</v>
      </c>
      <c r="E36" s="35" t="s">
        <v>1275</v>
      </c>
      <c r="G36" s="34" t="s">
        <v>1276</v>
      </c>
      <c r="H36" s="34">
        <v>7.5264216E7</v>
      </c>
      <c r="I36" s="34" t="s">
        <v>1277</v>
      </c>
      <c r="J36" s="34" t="s">
        <v>1278</v>
      </c>
      <c r="K36" s="34">
        <v>8480341.0</v>
      </c>
      <c r="L36" s="20" t="s">
        <v>404</v>
      </c>
      <c r="M36" s="34" t="s">
        <v>1279</v>
      </c>
      <c r="N36" s="34" t="s">
        <v>1280</v>
      </c>
      <c r="O36" s="37" t="s">
        <v>1281</v>
      </c>
      <c r="P36" s="16" t="s">
        <v>393</v>
      </c>
      <c r="Q36" s="16" t="s">
        <v>238</v>
      </c>
      <c r="R36" s="34">
        <v>6.7347886E7</v>
      </c>
      <c r="S36" s="34" t="s">
        <v>1282</v>
      </c>
      <c r="T36" s="38" t="s">
        <v>227</v>
      </c>
      <c r="U36" s="16" t="s">
        <v>220</v>
      </c>
      <c r="V36" s="34" t="s">
        <v>1283</v>
      </c>
      <c r="W36" s="34" t="s">
        <v>1284</v>
      </c>
      <c r="X36" s="37" t="s">
        <v>1285</v>
      </c>
      <c r="Y36" s="16" t="s">
        <v>1286</v>
      </c>
      <c r="Z36" s="16" t="s">
        <v>238</v>
      </c>
      <c r="AA36" s="34">
        <v>787908.0</v>
      </c>
      <c r="AB36" s="34" t="s">
        <v>1287</v>
      </c>
      <c r="AC36" s="38" t="s">
        <v>227</v>
      </c>
      <c r="AD36" s="16" t="s">
        <v>404</v>
      </c>
      <c r="AE36" s="34" t="s">
        <v>1288</v>
      </c>
      <c r="AF36" s="34" t="s">
        <v>1289</v>
      </c>
      <c r="AG36" s="43" t="s">
        <v>1290</v>
      </c>
      <c r="AH36" s="40" t="s">
        <v>1291</v>
      </c>
      <c r="AI36" s="40" t="s">
        <v>238</v>
      </c>
      <c r="AJ36" s="34">
        <v>7.5264216E7</v>
      </c>
      <c r="AK36" s="34" t="s">
        <v>1278</v>
      </c>
      <c r="AL36" s="38" t="s">
        <v>227</v>
      </c>
      <c r="AM36" s="16" t="s">
        <v>220</v>
      </c>
      <c r="AN36" s="34" t="s">
        <v>1292</v>
      </c>
      <c r="AO36" s="34" t="s">
        <v>1293</v>
      </c>
      <c r="AP36" s="29" t="s">
        <v>1294</v>
      </c>
      <c r="AQ36" s="39" t="s">
        <v>1295</v>
      </c>
      <c r="AR36" s="39" t="s">
        <v>238</v>
      </c>
      <c r="AS36" s="34">
        <v>7.7268045E7</v>
      </c>
      <c r="AT36" s="34" t="s">
        <v>1296</v>
      </c>
      <c r="AU36" s="38" t="s">
        <v>227</v>
      </c>
      <c r="AV36" s="40" t="s">
        <v>404</v>
      </c>
      <c r="AW36" s="34" t="s">
        <v>1297</v>
      </c>
      <c r="AX36" s="34" t="s">
        <v>1298</v>
      </c>
      <c r="AY36" s="29" t="s">
        <v>1299</v>
      </c>
      <c r="AZ36" s="22" t="s">
        <v>1295</v>
      </c>
      <c r="BA36" s="22" t="s">
        <v>238</v>
      </c>
      <c r="BB36" s="34">
        <v>7.8334996E7</v>
      </c>
      <c r="BC36" s="34" t="s">
        <v>1300</v>
      </c>
      <c r="BD36" s="38" t="s">
        <v>227</v>
      </c>
      <c r="BE36" s="39" t="s">
        <v>1301</v>
      </c>
      <c r="BF36" s="35" t="s">
        <v>1302</v>
      </c>
      <c r="BG36" s="34" t="s">
        <v>1303</v>
      </c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1"/>
      <c r="DI36" s="41"/>
      <c r="DJ36" s="41"/>
      <c r="DK36" s="41"/>
      <c r="DL36" s="41"/>
      <c r="DM36" s="41"/>
      <c r="DN36" s="41"/>
      <c r="DO36" s="41"/>
      <c r="DP36" s="41"/>
      <c r="DQ36" s="41"/>
      <c r="DR36" s="41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  <c r="GG36" s="41"/>
      <c r="GH36" s="41"/>
      <c r="GI36" s="41"/>
      <c r="GJ36" s="41"/>
      <c r="GK36" s="41"/>
      <c r="GL36" s="41"/>
      <c r="GM36" s="41"/>
      <c r="GN36" s="41"/>
      <c r="GO36" s="41"/>
      <c r="GP36" s="41"/>
      <c r="GQ36" s="41"/>
      <c r="GR36" s="41"/>
      <c r="GS36" s="41"/>
      <c r="GT36" s="41"/>
      <c r="GU36" s="41"/>
      <c r="GV36" s="41"/>
      <c r="GW36" s="41"/>
      <c r="GX36" s="41"/>
      <c r="GY36" s="41"/>
    </row>
    <row r="37" ht="22.5" customHeight="1">
      <c r="A37" s="65">
        <v>45921.89257134259</v>
      </c>
      <c r="B37" s="34" t="s">
        <v>1304</v>
      </c>
      <c r="C37" s="34" t="s">
        <v>1305</v>
      </c>
      <c r="D37" s="34" t="s">
        <v>215</v>
      </c>
      <c r="E37" s="35" t="s">
        <v>1306</v>
      </c>
      <c r="F37" s="35" t="s">
        <v>1307</v>
      </c>
      <c r="G37" s="34" t="s">
        <v>1308</v>
      </c>
      <c r="H37" s="34">
        <v>6.5691243E7</v>
      </c>
      <c r="I37" s="34" t="s">
        <v>1309</v>
      </c>
      <c r="J37" s="34" t="s">
        <v>1310</v>
      </c>
      <c r="K37" s="34">
        <v>7041984.0</v>
      </c>
      <c r="L37" s="36" t="s">
        <v>438</v>
      </c>
      <c r="M37" s="34" t="s">
        <v>1311</v>
      </c>
      <c r="N37" s="34" t="s">
        <v>1312</v>
      </c>
      <c r="O37" s="29" t="s">
        <v>1313</v>
      </c>
      <c r="P37" s="16" t="s">
        <v>1314</v>
      </c>
      <c r="Q37" s="16" t="s">
        <v>238</v>
      </c>
      <c r="R37" s="34">
        <v>6.9952063E7</v>
      </c>
      <c r="S37" s="34" t="s">
        <v>1315</v>
      </c>
      <c r="T37" s="38" t="s">
        <v>227</v>
      </c>
      <c r="U37" s="16" t="s">
        <v>284</v>
      </c>
      <c r="V37" s="34" t="s">
        <v>1316</v>
      </c>
      <c r="W37" s="34" t="s">
        <v>1317</v>
      </c>
      <c r="X37" s="21" t="s">
        <v>1318</v>
      </c>
      <c r="Y37" s="55" t="s">
        <v>1319</v>
      </c>
      <c r="Z37" s="39" t="s">
        <v>238</v>
      </c>
      <c r="AA37" s="34">
        <v>6.9712786E7</v>
      </c>
      <c r="AB37" s="34" t="s">
        <v>1320</v>
      </c>
      <c r="AC37" s="38" t="s">
        <v>227</v>
      </c>
      <c r="AD37" s="16" t="s">
        <v>220</v>
      </c>
      <c r="AE37" s="34" t="s">
        <v>1321</v>
      </c>
      <c r="AF37" s="34" t="s">
        <v>1322</v>
      </c>
      <c r="AG37" s="29" t="s">
        <v>1323</v>
      </c>
      <c r="AH37" s="39" t="s">
        <v>1324</v>
      </c>
      <c r="AI37" s="22" t="s">
        <v>238</v>
      </c>
      <c r="AJ37" s="34">
        <v>6.9982713E7</v>
      </c>
      <c r="AK37" s="34" t="s">
        <v>1325</v>
      </c>
      <c r="AL37" s="38" t="s">
        <v>227</v>
      </c>
      <c r="AM37" s="49" t="s">
        <v>354</v>
      </c>
      <c r="AN37" s="34" t="s">
        <v>1308</v>
      </c>
      <c r="AO37" s="34" t="s">
        <v>1326</v>
      </c>
      <c r="AP37" s="29" t="s">
        <v>1327</v>
      </c>
      <c r="AQ37" s="39" t="s">
        <v>1328</v>
      </c>
      <c r="AR37" s="22" t="s">
        <v>238</v>
      </c>
      <c r="AS37" s="34">
        <v>6.5691243E7</v>
      </c>
      <c r="AT37" s="34" t="s">
        <v>1310</v>
      </c>
      <c r="AU37" s="38" t="s">
        <v>227</v>
      </c>
      <c r="AV37" s="24" t="s">
        <v>438</v>
      </c>
      <c r="AW37" s="34" t="s">
        <v>1329</v>
      </c>
      <c r="AX37" s="34" t="s">
        <v>1330</v>
      </c>
      <c r="AY37" s="29" t="s">
        <v>1331</v>
      </c>
      <c r="AZ37" s="39" t="s">
        <v>1332</v>
      </c>
      <c r="BA37" s="22" t="s">
        <v>238</v>
      </c>
      <c r="BB37" s="34">
        <v>7.2352687E7</v>
      </c>
      <c r="BC37" s="34" t="s">
        <v>1333</v>
      </c>
      <c r="BD37" s="38" t="s">
        <v>227</v>
      </c>
      <c r="BE37" s="39" t="s">
        <v>1334</v>
      </c>
      <c r="BF37" s="34" t="s">
        <v>1335</v>
      </c>
      <c r="BG37" s="34" t="s">
        <v>1309</v>
      </c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  <c r="GI37" s="41"/>
      <c r="GJ37" s="41"/>
      <c r="GK37" s="41"/>
      <c r="GL37" s="41"/>
      <c r="GM37" s="41"/>
      <c r="GN37" s="41"/>
      <c r="GO37" s="41"/>
      <c r="GP37" s="41"/>
      <c r="GQ37" s="41"/>
      <c r="GR37" s="41"/>
      <c r="GS37" s="41"/>
      <c r="GT37" s="41"/>
      <c r="GU37" s="41"/>
      <c r="GV37" s="41"/>
      <c r="GW37" s="41"/>
      <c r="GX37" s="41"/>
      <c r="GY37" s="41"/>
    </row>
    <row r="38" ht="22.5" customHeight="1">
      <c r="A38" s="65">
        <v>45921.89555533565</v>
      </c>
      <c r="B38" s="34" t="s">
        <v>1336</v>
      </c>
      <c r="C38" s="34" t="s">
        <v>1337</v>
      </c>
      <c r="D38" s="34" t="s">
        <v>215</v>
      </c>
      <c r="E38" s="35" t="s">
        <v>1338</v>
      </c>
      <c r="F38" s="35" t="s">
        <v>1339</v>
      </c>
      <c r="G38" s="34" t="s">
        <v>1340</v>
      </c>
      <c r="H38" s="34">
        <v>7.8695881E7</v>
      </c>
      <c r="I38" s="34" t="s">
        <v>1341</v>
      </c>
      <c r="J38" s="34" t="s">
        <v>1342</v>
      </c>
      <c r="K38" s="34">
        <v>1.0388869E7</v>
      </c>
      <c r="L38" s="20" t="s">
        <v>284</v>
      </c>
      <c r="M38" s="34" t="s">
        <v>1343</v>
      </c>
      <c r="N38" s="34" t="s">
        <v>1344</v>
      </c>
      <c r="O38" s="37" t="s">
        <v>1345</v>
      </c>
      <c r="P38" s="16" t="s">
        <v>1346</v>
      </c>
      <c r="Q38" s="16" t="s">
        <v>238</v>
      </c>
      <c r="R38" s="34">
        <v>7.71228E7</v>
      </c>
      <c r="S38" s="34" t="s">
        <v>1347</v>
      </c>
      <c r="T38" s="38" t="s">
        <v>227</v>
      </c>
      <c r="U38" s="24" t="s">
        <v>272</v>
      </c>
      <c r="V38" s="34" t="s">
        <v>1348</v>
      </c>
      <c r="W38" s="34" t="s">
        <v>1349</v>
      </c>
      <c r="X38" s="37" t="s">
        <v>1350</v>
      </c>
      <c r="Y38" s="16" t="s">
        <v>1351</v>
      </c>
      <c r="Z38" s="16" t="s">
        <v>238</v>
      </c>
      <c r="AA38" s="34">
        <v>6.8622702E7</v>
      </c>
      <c r="AB38" s="34" t="s">
        <v>1352</v>
      </c>
      <c r="AC38" s="38" t="s">
        <v>227</v>
      </c>
      <c r="AD38" s="16" t="s">
        <v>380</v>
      </c>
      <c r="AE38" s="34" t="s">
        <v>1353</v>
      </c>
      <c r="AF38" s="34" t="s">
        <v>1354</v>
      </c>
      <c r="AG38" s="29" t="s">
        <v>1355</v>
      </c>
      <c r="AH38" s="39" t="s">
        <v>1356</v>
      </c>
      <c r="AI38" s="39" t="s">
        <v>238</v>
      </c>
      <c r="AJ38" s="34">
        <v>6.8374083E7</v>
      </c>
      <c r="AK38" s="34" t="s">
        <v>1357</v>
      </c>
      <c r="AL38" s="38" t="s">
        <v>227</v>
      </c>
      <c r="AM38" s="16" t="s">
        <v>220</v>
      </c>
      <c r="AN38" s="34" t="s">
        <v>1358</v>
      </c>
      <c r="AO38" s="34" t="s">
        <v>1359</v>
      </c>
      <c r="AP38" s="37" t="s">
        <v>1360</v>
      </c>
      <c r="AQ38" s="16" t="s">
        <v>1361</v>
      </c>
      <c r="AR38" s="16" t="s">
        <v>238</v>
      </c>
      <c r="AS38" s="34">
        <v>7.711853E7</v>
      </c>
      <c r="AT38" s="34" t="s">
        <v>1362</v>
      </c>
      <c r="AU38" s="38" t="s">
        <v>227</v>
      </c>
      <c r="AV38" s="24" t="s">
        <v>438</v>
      </c>
      <c r="AW38" s="34" t="s">
        <v>1340</v>
      </c>
      <c r="AX38" s="34" t="s">
        <v>1363</v>
      </c>
      <c r="AY38" s="29" t="s">
        <v>1364</v>
      </c>
      <c r="AZ38" s="39" t="s">
        <v>1365</v>
      </c>
      <c r="BA38" s="39" t="s">
        <v>238</v>
      </c>
      <c r="BB38" s="34">
        <v>7.8695881E7</v>
      </c>
      <c r="BC38" s="34" t="s">
        <v>1342</v>
      </c>
      <c r="BD38" s="38" t="s">
        <v>227</v>
      </c>
      <c r="BE38" s="39" t="s">
        <v>1366</v>
      </c>
      <c r="BF38" s="34" t="s">
        <v>1367</v>
      </c>
      <c r="BG38" s="34" t="s">
        <v>1341</v>
      </c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1"/>
      <c r="CS38" s="41"/>
      <c r="CT38" s="41"/>
      <c r="CU38" s="41"/>
      <c r="CV38" s="41"/>
      <c r="CW38" s="41"/>
      <c r="CX38" s="41"/>
      <c r="CY38" s="41"/>
      <c r="CZ38" s="41"/>
      <c r="DA38" s="41"/>
      <c r="DB38" s="41"/>
      <c r="DC38" s="41"/>
      <c r="DD38" s="41"/>
      <c r="DE38" s="41"/>
      <c r="DF38" s="41"/>
      <c r="DG38" s="41"/>
      <c r="DH38" s="41"/>
      <c r="DI38" s="41"/>
      <c r="DJ38" s="41"/>
      <c r="DK38" s="41"/>
      <c r="DL38" s="41"/>
      <c r="DM38" s="41"/>
      <c r="DN38" s="41"/>
      <c r="DO38" s="41"/>
      <c r="DP38" s="41"/>
      <c r="DQ38" s="41"/>
      <c r="DR38" s="41"/>
      <c r="DS38" s="41"/>
      <c r="DT38" s="41"/>
      <c r="DU38" s="41"/>
      <c r="DV38" s="41"/>
      <c r="DW38" s="41"/>
      <c r="DX38" s="41"/>
      <c r="DY38" s="41"/>
      <c r="DZ38" s="41"/>
      <c r="EA38" s="41"/>
      <c r="EB38" s="41"/>
      <c r="EC38" s="41"/>
      <c r="ED38" s="41"/>
      <c r="EE38" s="41"/>
      <c r="EF38" s="41"/>
      <c r="EG38" s="41"/>
      <c r="EH38" s="41"/>
      <c r="EI38" s="41"/>
      <c r="EJ38" s="41"/>
      <c r="EK38" s="41"/>
      <c r="EL38" s="41"/>
      <c r="EM38" s="41"/>
      <c r="EN38" s="41"/>
      <c r="EO38" s="41"/>
      <c r="EP38" s="41"/>
      <c r="EQ38" s="41"/>
      <c r="ER38" s="41"/>
      <c r="ES38" s="41"/>
      <c r="ET38" s="41"/>
      <c r="EU38" s="41"/>
      <c r="EV38" s="41"/>
      <c r="EW38" s="41"/>
      <c r="EX38" s="41"/>
      <c r="EY38" s="41"/>
      <c r="EZ38" s="41"/>
      <c r="FA38" s="41"/>
      <c r="FB38" s="41"/>
      <c r="FC38" s="41"/>
      <c r="FD38" s="41"/>
      <c r="FE38" s="41"/>
      <c r="FF38" s="41"/>
      <c r="FG38" s="41"/>
      <c r="FH38" s="41"/>
      <c r="FI38" s="41"/>
      <c r="FJ38" s="41"/>
      <c r="FK38" s="41"/>
      <c r="FL38" s="41"/>
      <c r="FM38" s="41"/>
      <c r="FN38" s="41"/>
      <c r="FO38" s="41"/>
      <c r="FP38" s="41"/>
      <c r="FQ38" s="41"/>
      <c r="FR38" s="41"/>
      <c r="FS38" s="41"/>
      <c r="FT38" s="41"/>
      <c r="FU38" s="41"/>
      <c r="FV38" s="41"/>
      <c r="FW38" s="41"/>
      <c r="FX38" s="41"/>
      <c r="FY38" s="41"/>
      <c r="FZ38" s="41"/>
      <c r="GA38" s="41"/>
      <c r="GB38" s="41"/>
      <c r="GC38" s="41"/>
      <c r="GD38" s="41"/>
      <c r="GE38" s="41"/>
      <c r="GF38" s="41"/>
      <c r="GG38" s="41"/>
      <c r="GH38" s="41"/>
      <c r="GI38" s="41"/>
      <c r="GJ38" s="41"/>
      <c r="GK38" s="41"/>
      <c r="GL38" s="41"/>
      <c r="GM38" s="41"/>
      <c r="GN38" s="41"/>
      <c r="GO38" s="41"/>
      <c r="GP38" s="41"/>
      <c r="GQ38" s="41"/>
      <c r="GR38" s="41"/>
      <c r="GS38" s="41"/>
      <c r="GT38" s="41"/>
      <c r="GU38" s="41"/>
      <c r="GV38" s="41"/>
      <c r="GW38" s="41"/>
      <c r="GX38" s="41"/>
      <c r="GY38" s="41"/>
    </row>
    <row r="39" ht="22.5" customHeight="1">
      <c r="A39" s="65">
        <v>45921.89818282408</v>
      </c>
      <c r="B39" s="34" t="s">
        <v>1368</v>
      </c>
      <c r="C39" s="34" t="s">
        <v>1369</v>
      </c>
      <c r="D39" s="34" t="s">
        <v>215</v>
      </c>
      <c r="E39" s="35" t="s">
        <v>1370</v>
      </c>
      <c r="F39" s="35" t="s">
        <v>1371</v>
      </c>
      <c r="G39" s="34" t="s">
        <v>1372</v>
      </c>
      <c r="H39" s="34">
        <v>6.4061433E7</v>
      </c>
      <c r="I39" s="34" t="s">
        <v>1373</v>
      </c>
      <c r="J39" s="34" t="s">
        <v>1374</v>
      </c>
      <c r="K39" s="34">
        <v>1.092909E7</v>
      </c>
      <c r="L39" s="20" t="s">
        <v>284</v>
      </c>
      <c r="M39" s="34" t="s">
        <v>1375</v>
      </c>
      <c r="N39" s="34" t="s">
        <v>1376</v>
      </c>
      <c r="O39" s="29" t="s">
        <v>1377</v>
      </c>
      <c r="P39" s="39" t="s">
        <v>631</v>
      </c>
      <c r="Q39" s="39" t="s">
        <v>238</v>
      </c>
      <c r="R39" s="34">
        <v>6.8599176E7</v>
      </c>
      <c r="S39" s="34" t="s">
        <v>1378</v>
      </c>
      <c r="T39" s="38" t="s">
        <v>227</v>
      </c>
      <c r="U39" s="24" t="s">
        <v>826</v>
      </c>
      <c r="V39" s="34" t="s">
        <v>1379</v>
      </c>
      <c r="W39" s="34" t="s">
        <v>1380</v>
      </c>
      <c r="X39" s="21" t="s">
        <v>1381</v>
      </c>
      <c r="Y39" s="22" t="s">
        <v>631</v>
      </c>
      <c r="Z39" s="55" t="s">
        <v>238</v>
      </c>
      <c r="AA39" s="34">
        <v>7.5869104E7</v>
      </c>
      <c r="AB39" s="34" t="s">
        <v>1382</v>
      </c>
      <c r="AC39" s="38" t="s">
        <v>227</v>
      </c>
      <c r="AD39" s="24" t="s">
        <v>260</v>
      </c>
      <c r="AE39" s="34" t="s">
        <v>1383</v>
      </c>
      <c r="AF39" s="34" t="s">
        <v>1384</v>
      </c>
      <c r="AG39" s="29" t="s">
        <v>1385</v>
      </c>
      <c r="AH39" s="39" t="s">
        <v>1386</v>
      </c>
      <c r="AI39" s="39" t="s">
        <v>238</v>
      </c>
      <c r="AJ39" s="34">
        <v>7.5804956E7</v>
      </c>
      <c r="AK39" s="34" t="s">
        <v>1387</v>
      </c>
      <c r="AL39" s="38" t="s">
        <v>227</v>
      </c>
      <c r="AM39" s="16" t="s">
        <v>300</v>
      </c>
      <c r="AN39" s="34" t="s">
        <v>1388</v>
      </c>
      <c r="AO39" s="34" t="s">
        <v>1389</v>
      </c>
      <c r="AP39" s="21" t="s">
        <v>1390</v>
      </c>
      <c r="AQ39" s="22" t="s">
        <v>1391</v>
      </c>
      <c r="AR39" s="55" t="s">
        <v>238</v>
      </c>
      <c r="AS39" s="34">
        <v>7.5227482E7</v>
      </c>
      <c r="AT39" s="34" t="s">
        <v>1392</v>
      </c>
      <c r="AU39" s="38" t="s">
        <v>227</v>
      </c>
      <c r="AV39" s="40" t="s">
        <v>284</v>
      </c>
      <c r="AW39" s="34" t="s">
        <v>1372</v>
      </c>
      <c r="AX39" s="34" t="s">
        <v>1393</v>
      </c>
      <c r="AY39" s="21" t="s">
        <v>1394</v>
      </c>
      <c r="AZ39" s="22" t="s">
        <v>1395</v>
      </c>
      <c r="BA39" s="22" t="s">
        <v>238</v>
      </c>
      <c r="BB39" s="34">
        <v>6.4061433E7</v>
      </c>
      <c r="BC39" s="34" t="s">
        <v>1374</v>
      </c>
      <c r="BD39" s="38" t="s">
        <v>227</v>
      </c>
      <c r="BE39" s="46" t="s">
        <v>1396</v>
      </c>
      <c r="BF39" s="34" t="s">
        <v>1397</v>
      </c>
      <c r="BG39" s="34" t="s">
        <v>1373</v>
      </c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 s="41"/>
      <c r="DS39" s="41"/>
      <c r="DT39" s="41"/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1"/>
      <c r="FP39" s="41"/>
      <c r="FQ39" s="41"/>
      <c r="FR39" s="41"/>
      <c r="FS39" s="41"/>
      <c r="FT39" s="41"/>
      <c r="FU39" s="41"/>
      <c r="FV39" s="41"/>
      <c r="FW39" s="41"/>
      <c r="FX39" s="41"/>
      <c r="FY39" s="41"/>
      <c r="FZ39" s="41"/>
      <c r="GA39" s="41"/>
      <c r="GB39" s="41"/>
      <c r="GC39" s="41"/>
      <c r="GD39" s="41"/>
      <c r="GE39" s="41"/>
      <c r="GF39" s="41"/>
      <c r="GG39" s="41"/>
      <c r="GH39" s="41"/>
      <c r="GI39" s="41"/>
      <c r="GJ39" s="41"/>
      <c r="GK39" s="41"/>
      <c r="GL39" s="41"/>
      <c r="GM39" s="41"/>
      <c r="GN39" s="41"/>
      <c r="GO39" s="41"/>
      <c r="GP39" s="41"/>
      <c r="GQ39" s="41"/>
      <c r="GR39" s="41"/>
      <c r="GS39" s="41"/>
      <c r="GT39" s="41"/>
      <c r="GU39" s="41"/>
      <c r="GV39" s="41"/>
      <c r="GW39" s="41"/>
      <c r="GX39" s="41"/>
      <c r="GY39" s="41"/>
    </row>
    <row r="40" ht="22.5" customHeight="1">
      <c r="A40" s="65">
        <v>45921.91252236111</v>
      </c>
      <c r="B40" s="42" t="s">
        <v>1398</v>
      </c>
      <c r="C40" s="34" t="s">
        <v>1399</v>
      </c>
      <c r="D40" s="34" t="s">
        <v>215</v>
      </c>
      <c r="E40" s="35" t="s">
        <v>1400</v>
      </c>
      <c r="F40" s="35" t="s">
        <v>1401</v>
      </c>
      <c r="G40" s="34" t="s">
        <v>1402</v>
      </c>
      <c r="H40" s="34">
        <v>7.6276566E7</v>
      </c>
      <c r="I40" s="34" t="s">
        <v>1403</v>
      </c>
      <c r="J40" s="34" t="s">
        <v>1404</v>
      </c>
      <c r="K40" s="34">
        <v>8328699.0</v>
      </c>
      <c r="L40" s="20" t="s">
        <v>284</v>
      </c>
      <c r="M40" s="34" t="s">
        <v>1402</v>
      </c>
      <c r="N40" s="34" t="s">
        <v>1405</v>
      </c>
      <c r="O40" s="29" t="s">
        <v>1406</v>
      </c>
      <c r="P40" s="39" t="s">
        <v>1407</v>
      </c>
      <c r="Q40" s="39" t="s">
        <v>225</v>
      </c>
      <c r="R40" s="42">
        <v>7.6276566E7</v>
      </c>
      <c r="S40" s="34" t="s">
        <v>1404</v>
      </c>
      <c r="T40" s="38" t="s">
        <v>227</v>
      </c>
      <c r="U40" s="24" t="s">
        <v>826</v>
      </c>
      <c r="V40" s="34" t="s">
        <v>1408</v>
      </c>
      <c r="W40" s="34" t="s">
        <v>1409</v>
      </c>
      <c r="X40" s="29" t="s">
        <v>1410</v>
      </c>
      <c r="Y40" s="39" t="s">
        <v>1411</v>
      </c>
      <c r="Z40" s="39" t="s">
        <v>238</v>
      </c>
      <c r="AA40" s="34">
        <v>7.96662E7</v>
      </c>
      <c r="AB40" s="34" t="s">
        <v>1412</v>
      </c>
      <c r="AC40" s="38" t="s">
        <v>227</v>
      </c>
      <c r="AD40" s="24" t="s">
        <v>260</v>
      </c>
      <c r="AE40" s="34" t="s">
        <v>1413</v>
      </c>
      <c r="AF40" s="34" t="s">
        <v>1414</v>
      </c>
      <c r="AG40" s="29" t="s">
        <v>1415</v>
      </c>
      <c r="AH40" s="39" t="s">
        <v>1416</v>
      </c>
      <c r="AI40" s="39" t="s">
        <v>238</v>
      </c>
      <c r="AJ40" s="34">
        <v>6.1855288E7</v>
      </c>
      <c r="AK40" s="34" t="s">
        <v>1417</v>
      </c>
      <c r="AL40" s="38" t="s">
        <v>227</v>
      </c>
      <c r="AM40" s="16" t="s">
        <v>220</v>
      </c>
      <c r="AN40" s="34" t="s">
        <v>1418</v>
      </c>
      <c r="AO40" s="34" t="s">
        <v>1419</v>
      </c>
      <c r="AP40" s="37" t="s">
        <v>1420</v>
      </c>
      <c r="AQ40" s="16" t="s">
        <v>1421</v>
      </c>
      <c r="AR40" s="16" t="s">
        <v>238</v>
      </c>
      <c r="AS40" s="34">
        <v>7.8780088E7</v>
      </c>
      <c r="AT40" s="34" t="s">
        <v>1422</v>
      </c>
      <c r="AU40" s="38" t="s">
        <v>227</v>
      </c>
      <c r="AV40" s="24" t="s">
        <v>260</v>
      </c>
      <c r="AW40" s="34" t="s">
        <v>1423</v>
      </c>
      <c r="AX40" s="34" t="s">
        <v>1424</v>
      </c>
      <c r="AY40" s="29" t="s">
        <v>1425</v>
      </c>
      <c r="AZ40" s="22" t="s">
        <v>1426</v>
      </c>
      <c r="BA40" s="22" t="s">
        <v>225</v>
      </c>
      <c r="BB40" s="34">
        <v>6.051789E7</v>
      </c>
      <c r="BC40" s="34" t="s">
        <v>1427</v>
      </c>
      <c r="BD40" s="38" t="s">
        <v>227</v>
      </c>
      <c r="BG40" s="34" t="s">
        <v>1403</v>
      </c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1"/>
      <c r="DP40" s="41"/>
      <c r="DQ40" s="41"/>
      <c r="DR40" s="41"/>
      <c r="DS40" s="41"/>
      <c r="DT40" s="41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1"/>
      <c r="FQ40" s="41"/>
      <c r="FR40" s="41"/>
      <c r="FS40" s="41"/>
      <c r="FT40" s="41"/>
      <c r="FU40" s="41"/>
      <c r="FV40" s="41"/>
      <c r="FW40" s="41"/>
      <c r="FX40" s="41"/>
      <c r="FY40" s="41"/>
      <c r="FZ40" s="41"/>
      <c r="GA40" s="41"/>
      <c r="GB40" s="41"/>
      <c r="GC40" s="41"/>
      <c r="GD40" s="41"/>
      <c r="GE40" s="41"/>
      <c r="GF40" s="41"/>
      <c r="GG40" s="41"/>
      <c r="GH40" s="41"/>
      <c r="GI40" s="41"/>
      <c r="GJ40" s="41"/>
      <c r="GK40" s="41"/>
      <c r="GL40" s="41"/>
      <c r="GM40" s="41"/>
      <c r="GN40" s="41"/>
      <c r="GO40" s="41"/>
      <c r="GP40" s="41"/>
      <c r="GQ40" s="41"/>
      <c r="GR40" s="41"/>
      <c r="GS40" s="41"/>
      <c r="GT40" s="41"/>
      <c r="GU40" s="41"/>
      <c r="GV40" s="41"/>
      <c r="GW40" s="41"/>
      <c r="GX40" s="41"/>
      <c r="GY40" s="41"/>
    </row>
    <row r="41" ht="22.5" customHeight="1">
      <c r="A41" s="86">
        <v>45921.92010106481</v>
      </c>
      <c r="B41" s="34" t="s">
        <v>1428</v>
      </c>
      <c r="C41" s="34" t="s">
        <v>1429</v>
      </c>
      <c r="D41" s="34" t="s">
        <v>215</v>
      </c>
      <c r="E41" s="35" t="s">
        <v>1430</v>
      </c>
      <c r="F41" s="35" t="s">
        <v>1431</v>
      </c>
      <c r="G41" s="34" t="s">
        <v>1432</v>
      </c>
      <c r="H41" s="34">
        <v>6.2346159E7</v>
      </c>
      <c r="I41" s="34" t="s">
        <v>1433</v>
      </c>
      <c r="J41" s="34" t="s">
        <v>1434</v>
      </c>
      <c r="K41" s="34">
        <v>9164266.0</v>
      </c>
      <c r="L41" s="36" t="s">
        <v>438</v>
      </c>
      <c r="M41" s="34" t="s">
        <v>1435</v>
      </c>
      <c r="N41" s="34" t="s">
        <v>1436</v>
      </c>
      <c r="O41" s="29" t="s">
        <v>1437</v>
      </c>
      <c r="P41" s="22" t="s">
        <v>1438</v>
      </c>
      <c r="Q41" s="22" t="s">
        <v>238</v>
      </c>
      <c r="R41" s="34" t="s">
        <v>1439</v>
      </c>
      <c r="S41" s="34" t="s">
        <v>1440</v>
      </c>
      <c r="T41" s="38" t="s">
        <v>227</v>
      </c>
      <c r="U41" s="16" t="s">
        <v>300</v>
      </c>
      <c r="V41" s="34" t="s">
        <v>1441</v>
      </c>
      <c r="W41" s="34" t="s">
        <v>1442</v>
      </c>
      <c r="X41" s="43" t="s">
        <v>1443</v>
      </c>
      <c r="Y41" s="40" t="s">
        <v>1444</v>
      </c>
      <c r="Z41" s="40" t="s">
        <v>238</v>
      </c>
      <c r="AA41" s="34" t="s">
        <v>1445</v>
      </c>
      <c r="AB41" s="34" t="s">
        <v>1446</v>
      </c>
      <c r="AC41" s="38" t="s">
        <v>227</v>
      </c>
      <c r="AD41" s="24" t="s">
        <v>1447</v>
      </c>
      <c r="AE41" s="34" t="s">
        <v>1448</v>
      </c>
      <c r="AF41" s="34" t="s">
        <v>1449</v>
      </c>
      <c r="AG41" s="29" t="s">
        <v>1450</v>
      </c>
      <c r="AH41" s="39" t="s">
        <v>1451</v>
      </c>
      <c r="AI41" s="22" t="s">
        <v>238</v>
      </c>
      <c r="AJ41" s="34" t="s">
        <v>1452</v>
      </c>
      <c r="AK41" s="34" t="s">
        <v>1453</v>
      </c>
      <c r="AL41" s="38" t="s">
        <v>227</v>
      </c>
      <c r="AM41" s="49" t="s">
        <v>354</v>
      </c>
      <c r="AN41" s="34" t="s">
        <v>1454</v>
      </c>
      <c r="AO41" s="34" t="s">
        <v>1455</v>
      </c>
      <c r="AP41" s="21" t="s">
        <v>1456</v>
      </c>
      <c r="AQ41" s="22" t="s">
        <v>1457</v>
      </c>
      <c r="AR41" s="55" t="s">
        <v>238</v>
      </c>
      <c r="AS41" s="34">
        <v>6.2346159E7</v>
      </c>
      <c r="AT41" s="34" t="s">
        <v>1434</v>
      </c>
      <c r="AU41" s="38" t="s">
        <v>227</v>
      </c>
      <c r="AV41" s="40" t="s">
        <v>284</v>
      </c>
      <c r="AW41" s="34" t="s">
        <v>1458</v>
      </c>
      <c r="AX41" s="34" t="s">
        <v>1459</v>
      </c>
      <c r="AY41" s="29" t="s">
        <v>1460</v>
      </c>
      <c r="AZ41" s="22" t="s">
        <v>1461</v>
      </c>
      <c r="BA41" s="22" t="s">
        <v>238</v>
      </c>
      <c r="BB41" s="34" t="s">
        <v>1462</v>
      </c>
      <c r="BC41" s="34" t="s">
        <v>1463</v>
      </c>
      <c r="BD41" s="38" t="s">
        <v>227</v>
      </c>
      <c r="BE41" s="40" t="s">
        <v>1464</v>
      </c>
      <c r="BF41" s="34" t="s">
        <v>1465</v>
      </c>
      <c r="BG41" s="34" t="s">
        <v>1433</v>
      </c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  <c r="DJ41" s="41"/>
      <c r="DK41" s="41"/>
      <c r="DL41" s="41"/>
      <c r="DM41" s="41"/>
      <c r="DN41" s="41"/>
      <c r="DO41" s="41"/>
      <c r="DP41" s="41"/>
      <c r="DQ41" s="41"/>
      <c r="DR41" s="41"/>
      <c r="DS41" s="41"/>
      <c r="DT41" s="41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4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1"/>
      <c r="FK41" s="41"/>
      <c r="FL41" s="41"/>
      <c r="FM41" s="41"/>
      <c r="FN41" s="41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  <c r="GG41" s="41"/>
      <c r="GH41" s="41"/>
      <c r="GI41" s="41"/>
      <c r="GJ41" s="41"/>
      <c r="GK41" s="41"/>
      <c r="GL41" s="41"/>
      <c r="GM41" s="41"/>
      <c r="GN41" s="41"/>
      <c r="GO41" s="41"/>
      <c r="GP41" s="41"/>
      <c r="GQ41" s="41"/>
      <c r="GR41" s="41"/>
      <c r="GS41" s="41"/>
      <c r="GT41" s="41"/>
      <c r="GU41" s="41"/>
      <c r="GV41" s="41"/>
      <c r="GW41" s="41"/>
      <c r="GX41" s="41"/>
      <c r="GY41" s="41"/>
    </row>
    <row r="42" ht="22.5" customHeight="1">
      <c r="A42" s="87">
        <v>45921.924364756946</v>
      </c>
      <c r="B42" s="42" t="s">
        <v>1398</v>
      </c>
      <c r="C42" s="34" t="s">
        <v>1466</v>
      </c>
      <c r="D42" s="34" t="s">
        <v>215</v>
      </c>
      <c r="E42" s="35" t="s">
        <v>1467</v>
      </c>
      <c r="F42" s="35" t="s">
        <v>1468</v>
      </c>
      <c r="G42" s="34" t="s">
        <v>1469</v>
      </c>
      <c r="H42" s="34">
        <v>7.6276566E7</v>
      </c>
      <c r="I42" s="34" t="s">
        <v>1403</v>
      </c>
      <c r="J42" s="34" t="s">
        <v>1404</v>
      </c>
      <c r="K42" s="34">
        <v>8328699.0</v>
      </c>
      <c r="L42" s="20" t="s">
        <v>284</v>
      </c>
      <c r="M42" s="34" t="s">
        <v>1469</v>
      </c>
      <c r="N42" s="34" t="s">
        <v>1405</v>
      </c>
      <c r="O42" s="37" t="s">
        <v>1470</v>
      </c>
      <c r="P42" s="39" t="s">
        <v>1471</v>
      </c>
      <c r="Q42" s="22" t="s">
        <v>225</v>
      </c>
      <c r="R42" s="42">
        <v>7.6276566E7</v>
      </c>
      <c r="S42" s="34" t="s">
        <v>1404</v>
      </c>
      <c r="T42" s="38" t="s">
        <v>227</v>
      </c>
      <c r="U42" s="24" t="s">
        <v>826</v>
      </c>
      <c r="V42" s="34" t="s">
        <v>1408</v>
      </c>
      <c r="W42" s="34" t="s">
        <v>1409</v>
      </c>
      <c r="X42" s="21" t="s">
        <v>1410</v>
      </c>
      <c r="Y42" s="22" t="s">
        <v>1472</v>
      </c>
      <c r="Z42" s="22" t="s">
        <v>238</v>
      </c>
      <c r="AA42" s="34">
        <v>7.96662E7</v>
      </c>
      <c r="AB42" s="34" t="s">
        <v>1412</v>
      </c>
      <c r="AC42" s="38" t="s">
        <v>227</v>
      </c>
      <c r="AD42" s="24" t="s">
        <v>722</v>
      </c>
      <c r="AE42" s="34" t="s">
        <v>1413</v>
      </c>
      <c r="AF42" s="55" t="s">
        <v>1414</v>
      </c>
      <c r="AG42" s="88" t="s">
        <v>1473</v>
      </c>
      <c r="AH42" s="39" t="s">
        <v>1474</v>
      </c>
      <c r="AI42" s="39" t="s">
        <v>238</v>
      </c>
      <c r="AJ42" s="34">
        <v>6.1855288E7</v>
      </c>
      <c r="AK42" s="34" t="s">
        <v>1475</v>
      </c>
      <c r="AL42" s="38" t="s">
        <v>227</v>
      </c>
      <c r="AM42" s="16" t="s">
        <v>220</v>
      </c>
      <c r="AN42" s="34" t="s">
        <v>1418</v>
      </c>
      <c r="AO42" s="34" t="s">
        <v>1419</v>
      </c>
      <c r="AP42" s="37" t="s">
        <v>1420</v>
      </c>
      <c r="AQ42" s="16" t="s">
        <v>1476</v>
      </c>
      <c r="AR42" s="16" t="s">
        <v>238</v>
      </c>
      <c r="AS42" s="34">
        <v>7.8780088E7</v>
      </c>
      <c r="AT42" s="34" t="s">
        <v>1422</v>
      </c>
      <c r="AU42" s="38" t="s">
        <v>227</v>
      </c>
      <c r="AV42" s="40" t="s">
        <v>404</v>
      </c>
      <c r="AW42" s="34" t="s">
        <v>1423</v>
      </c>
      <c r="AX42" s="34" t="s">
        <v>1424</v>
      </c>
      <c r="AY42" s="29" t="s">
        <v>1425</v>
      </c>
      <c r="AZ42" s="22" t="s">
        <v>1477</v>
      </c>
      <c r="BA42" s="22" t="s">
        <v>225</v>
      </c>
      <c r="BB42" s="34">
        <v>6.051789E7</v>
      </c>
      <c r="BC42" s="34" t="s">
        <v>1478</v>
      </c>
      <c r="BD42" s="38" t="s">
        <v>227</v>
      </c>
      <c r="BG42" s="34" t="s">
        <v>1403</v>
      </c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  <c r="GI42" s="41"/>
      <c r="GJ42" s="41"/>
      <c r="GK42" s="41"/>
      <c r="GL42" s="41"/>
      <c r="GM42" s="41"/>
      <c r="GN42" s="41"/>
      <c r="GO42" s="41"/>
      <c r="GP42" s="41"/>
      <c r="GQ42" s="41"/>
      <c r="GR42" s="41"/>
      <c r="GS42" s="41"/>
      <c r="GT42" s="41"/>
      <c r="GU42" s="41"/>
      <c r="GV42" s="41"/>
      <c r="GW42" s="41"/>
      <c r="GX42" s="41"/>
      <c r="GY42" s="41"/>
    </row>
    <row r="43" ht="22.5" customHeight="1">
      <c r="A43" s="65">
        <v>45921.929859236116</v>
      </c>
      <c r="B43" s="34" t="s">
        <v>1479</v>
      </c>
      <c r="C43" s="34" t="s">
        <v>1480</v>
      </c>
      <c r="D43" s="34" t="s">
        <v>215</v>
      </c>
      <c r="E43" s="35" t="s">
        <v>1481</v>
      </c>
      <c r="F43" s="35" t="s">
        <v>1482</v>
      </c>
      <c r="G43" s="34" t="s">
        <v>1483</v>
      </c>
      <c r="H43" s="34" t="s">
        <v>1484</v>
      </c>
      <c r="I43" s="34" t="s">
        <v>1485</v>
      </c>
      <c r="J43" s="34" t="s">
        <v>1486</v>
      </c>
      <c r="K43" s="34">
        <v>6276877.0</v>
      </c>
      <c r="L43" s="36" t="s">
        <v>228</v>
      </c>
      <c r="M43" s="34" t="s">
        <v>1487</v>
      </c>
      <c r="N43" s="34" t="s">
        <v>1488</v>
      </c>
      <c r="O43" s="43" t="s">
        <v>1489</v>
      </c>
      <c r="P43" s="40" t="s">
        <v>1490</v>
      </c>
      <c r="Q43" s="40" t="s">
        <v>238</v>
      </c>
      <c r="R43" s="34" t="s">
        <v>1491</v>
      </c>
      <c r="S43" s="34" t="s">
        <v>1492</v>
      </c>
      <c r="T43" s="38" t="s">
        <v>227</v>
      </c>
      <c r="U43" s="16" t="s">
        <v>300</v>
      </c>
      <c r="V43" s="34" t="s">
        <v>1493</v>
      </c>
      <c r="W43" s="34" t="s">
        <v>1494</v>
      </c>
      <c r="X43" s="21" t="s">
        <v>1495</v>
      </c>
      <c r="Y43" s="22" t="s">
        <v>1496</v>
      </c>
      <c r="Z43" s="55" t="s">
        <v>238</v>
      </c>
      <c r="AA43" s="34" t="s">
        <v>1484</v>
      </c>
      <c r="AB43" s="34" t="s">
        <v>1486</v>
      </c>
      <c r="AC43" s="38" t="s">
        <v>227</v>
      </c>
      <c r="AD43" s="16" t="s">
        <v>300</v>
      </c>
      <c r="AE43" s="34" t="s">
        <v>1497</v>
      </c>
      <c r="AF43" s="34" t="s">
        <v>1498</v>
      </c>
      <c r="AG43" s="43" t="s">
        <v>1499</v>
      </c>
      <c r="AH43" s="40" t="s">
        <v>1500</v>
      </c>
      <c r="AI43" s="40" t="s">
        <v>238</v>
      </c>
      <c r="AJ43" s="34">
        <v>7.530345E7</v>
      </c>
      <c r="AK43" s="34" t="s">
        <v>1501</v>
      </c>
      <c r="AL43" s="38" t="s">
        <v>227</v>
      </c>
      <c r="AM43" s="16" t="s">
        <v>380</v>
      </c>
      <c r="AN43" s="34" t="s">
        <v>1502</v>
      </c>
      <c r="AO43" s="34" t="s">
        <v>1503</v>
      </c>
      <c r="AP43" s="21" t="s">
        <v>1504</v>
      </c>
      <c r="AQ43" s="22" t="s">
        <v>1505</v>
      </c>
      <c r="AR43" s="55" t="s">
        <v>238</v>
      </c>
      <c r="AS43" s="34" t="s">
        <v>1506</v>
      </c>
      <c r="AT43" s="34" t="s">
        <v>1507</v>
      </c>
      <c r="AU43" s="38" t="s">
        <v>227</v>
      </c>
      <c r="AV43" s="40" t="s">
        <v>300</v>
      </c>
      <c r="AW43" s="34" t="s">
        <v>1508</v>
      </c>
      <c r="AX43" s="34" t="s">
        <v>1509</v>
      </c>
      <c r="AY43" s="29" t="s">
        <v>1510</v>
      </c>
      <c r="AZ43" s="39" t="s">
        <v>1511</v>
      </c>
      <c r="BA43" s="22" t="s">
        <v>238</v>
      </c>
      <c r="BB43" s="34" t="s">
        <v>1512</v>
      </c>
      <c r="BC43" s="34" t="s">
        <v>1513</v>
      </c>
      <c r="BD43" s="38" t="s">
        <v>227</v>
      </c>
      <c r="BE43" s="39" t="s">
        <v>1514</v>
      </c>
      <c r="BF43" s="35" t="s">
        <v>1515</v>
      </c>
      <c r="BG43" s="34" t="s">
        <v>1516</v>
      </c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1"/>
      <c r="GB43" s="41"/>
      <c r="GC43" s="41"/>
      <c r="GD43" s="41"/>
      <c r="GE43" s="41"/>
      <c r="GF43" s="41"/>
      <c r="GG43" s="41"/>
      <c r="GH43" s="41"/>
      <c r="GI43" s="41"/>
      <c r="GJ43" s="41"/>
      <c r="GK43" s="41"/>
      <c r="GL43" s="41"/>
      <c r="GM43" s="41"/>
      <c r="GN43" s="41"/>
      <c r="GO43" s="41"/>
      <c r="GP43" s="41"/>
      <c r="GQ43" s="41"/>
      <c r="GR43" s="41"/>
      <c r="GS43" s="41"/>
      <c r="GT43" s="41"/>
      <c r="GU43" s="41"/>
      <c r="GV43" s="41"/>
      <c r="GW43" s="41"/>
      <c r="GX43" s="41"/>
      <c r="GY43" s="41"/>
    </row>
    <row r="44" ht="22.5" customHeight="1">
      <c r="A44" s="65">
        <v>45921.954129108795</v>
      </c>
      <c r="B44" s="34" t="s">
        <v>1517</v>
      </c>
      <c r="C44" s="34" t="s">
        <v>1518</v>
      </c>
      <c r="D44" s="34" t="s">
        <v>215</v>
      </c>
      <c r="E44" s="35" t="s">
        <v>1519</v>
      </c>
      <c r="F44" s="35" t="s">
        <v>1520</v>
      </c>
      <c r="G44" s="61"/>
      <c r="H44" s="34" t="s">
        <v>1521</v>
      </c>
      <c r="I44" s="34" t="s">
        <v>1522</v>
      </c>
      <c r="J44" s="34" t="s">
        <v>1523</v>
      </c>
      <c r="K44" s="34">
        <v>1.5427836E7</v>
      </c>
      <c r="L44" s="20" t="s">
        <v>300</v>
      </c>
      <c r="M44" s="61"/>
      <c r="N44" s="34" t="s">
        <v>1524</v>
      </c>
      <c r="O44" s="29" t="s">
        <v>1525</v>
      </c>
      <c r="P44" s="39" t="s">
        <v>1526</v>
      </c>
      <c r="Q44" s="39" t="s">
        <v>238</v>
      </c>
      <c r="R44" s="34" t="s">
        <v>1527</v>
      </c>
      <c r="S44" s="34" t="s">
        <v>1528</v>
      </c>
      <c r="T44" s="38" t="s">
        <v>227</v>
      </c>
      <c r="U44" s="16" t="s">
        <v>284</v>
      </c>
      <c r="V44" s="34" t="s">
        <v>1529</v>
      </c>
      <c r="W44" s="34" t="s">
        <v>1530</v>
      </c>
      <c r="X44" s="43" t="s">
        <v>1531</v>
      </c>
      <c r="Y44" s="40" t="s">
        <v>1532</v>
      </c>
      <c r="Z44" s="40" t="s">
        <v>238</v>
      </c>
      <c r="AA44" s="34" t="s">
        <v>1533</v>
      </c>
      <c r="AB44" s="34" t="s">
        <v>1534</v>
      </c>
      <c r="AC44" s="38" t="s">
        <v>227</v>
      </c>
      <c r="AD44" s="24" t="s">
        <v>278</v>
      </c>
      <c r="AE44" s="34" t="s">
        <v>1535</v>
      </c>
      <c r="AF44" s="34" t="s">
        <v>1536</v>
      </c>
      <c r="AG44" s="29" t="s">
        <v>1537</v>
      </c>
      <c r="AH44" s="39" t="s">
        <v>1538</v>
      </c>
      <c r="AI44" s="22" t="s">
        <v>225</v>
      </c>
      <c r="AJ44" s="34" t="s">
        <v>1521</v>
      </c>
      <c r="AK44" s="34" t="s">
        <v>1523</v>
      </c>
      <c r="AL44" s="38" t="s">
        <v>227</v>
      </c>
      <c r="AM44" s="16" t="s">
        <v>300</v>
      </c>
      <c r="AN44" s="61"/>
      <c r="AO44" s="34" t="s">
        <v>1539</v>
      </c>
      <c r="AP44" s="29" t="s">
        <v>1540</v>
      </c>
      <c r="AR44" s="39" t="s">
        <v>238</v>
      </c>
      <c r="AS44" s="34" t="s">
        <v>1541</v>
      </c>
      <c r="AT44" s="61"/>
      <c r="AU44" s="38" t="s">
        <v>227</v>
      </c>
      <c r="AV44" s="40" t="s">
        <v>300</v>
      </c>
      <c r="AW44" s="61"/>
      <c r="AX44" s="34" t="s">
        <v>1542</v>
      </c>
      <c r="AY44" s="37" t="s">
        <v>1543</v>
      </c>
      <c r="AZ44" s="89"/>
      <c r="BA44" s="16" t="s">
        <v>238</v>
      </c>
      <c r="BB44" s="22" t="s">
        <v>1544</v>
      </c>
      <c r="BC44" s="61"/>
      <c r="BD44" s="38" t="s">
        <v>227</v>
      </c>
      <c r="BE44" s="44" t="s">
        <v>1545</v>
      </c>
      <c r="BF44" s="35" t="s">
        <v>1546</v>
      </c>
      <c r="BG44" s="34" t="s">
        <v>1547</v>
      </c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41"/>
      <c r="DI44" s="41"/>
      <c r="DJ44" s="41"/>
      <c r="DK44" s="41"/>
      <c r="DL44" s="41"/>
      <c r="DM44" s="41"/>
      <c r="DN44" s="41"/>
      <c r="DO44" s="41"/>
      <c r="DP44" s="41"/>
      <c r="DQ44" s="41"/>
      <c r="DR44" s="41"/>
      <c r="DS44" s="41"/>
      <c r="DT44" s="41"/>
      <c r="DU44" s="41"/>
      <c r="DV44" s="41"/>
      <c r="DW44" s="41"/>
      <c r="DX44" s="41"/>
      <c r="DY44" s="41"/>
      <c r="DZ44" s="41"/>
      <c r="EA44" s="41"/>
      <c r="EB44" s="41"/>
      <c r="EC44" s="41"/>
      <c r="ED44" s="41"/>
      <c r="EE44" s="41"/>
      <c r="EF44" s="41"/>
      <c r="EG44" s="41"/>
      <c r="EH44" s="41"/>
      <c r="EI44" s="41"/>
      <c r="EJ44" s="41"/>
      <c r="EK44" s="41"/>
      <c r="EL44" s="41"/>
      <c r="EM44" s="41"/>
      <c r="EN44" s="41"/>
      <c r="EO44" s="41"/>
      <c r="EP44" s="41"/>
      <c r="EQ44" s="41"/>
      <c r="ER44" s="41"/>
      <c r="ES44" s="41"/>
      <c r="ET44" s="41"/>
      <c r="EU44" s="41"/>
      <c r="EV44" s="41"/>
      <c r="EW44" s="41"/>
      <c r="EX44" s="41"/>
      <c r="EY44" s="41"/>
      <c r="EZ44" s="41"/>
      <c r="FA44" s="41"/>
      <c r="FB44" s="41"/>
      <c r="FC44" s="41"/>
      <c r="FD44" s="41"/>
      <c r="FE44" s="41"/>
      <c r="FF44" s="41"/>
      <c r="FG44" s="41"/>
      <c r="FH44" s="41"/>
      <c r="FI44" s="41"/>
      <c r="FJ44" s="41"/>
      <c r="FK44" s="41"/>
      <c r="FL44" s="41"/>
      <c r="FM44" s="41"/>
      <c r="FN44" s="41"/>
      <c r="FO44" s="41"/>
      <c r="FP44" s="41"/>
      <c r="FQ44" s="41"/>
      <c r="FR44" s="41"/>
      <c r="FS44" s="41"/>
      <c r="FT44" s="41"/>
      <c r="FU44" s="41"/>
      <c r="FV44" s="41"/>
      <c r="FW44" s="41"/>
      <c r="FX44" s="41"/>
      <c r="FY44" s="41"/>
      <c r="FZ44" s="41"/>
      <c r="GA44" s="41"/>
      <c r="GB44" s="41"/>
      <c r="GC44" s="41"/>
      <c r="GD44" s="41"/>
      <c r="GE44" s="41"/>
      <c r="GF44" s="41"/>
      <c r="GG44" s="41"/>
      <c r="GH44" s="41"/>
      <c r="GI44" s="41"/>
      <c r="GJ44" s="41"/>
      <c r="GK44" s="41"/>
      <c r="GL44" s="41"/>
      <c r="GM44" s="41"/>
      <c r="GN44" s="41"/>
      <c r="GO44" s="41"/>
      <c r="GP44" s="41"/>
      <c r="GQ44" s="41"/>
      <c r="GR44" s="41"/>
      <c r="GS44" s="41"/>
      <c r="GT44" s="41"/>
      <c r="GU44" s="41"/>
      <c r="GV44" s="41"/>
      <c r="GW44" s="41"/>
      <c r="GX44" s="41"/>
      <c r="GY44" s="41"/>
    </row>
    <row r="45" ht="22.5" customHeight="1">
      <c r="A45" s="65">
        <v>45921.956870775466</v>
      </c>
      <c r="B45" s="34" t="s">
        <v>1548</v>
      </c>
      <c r="C45" s="34" t="s">
        <v>1549</v>
      </c>
      <c r="D45" s="34" t="s">
        <v>215</v>
      </c>
      <c r="E45" s="35" t="s">
        <v>1550</v>
      </c>
      <c r="F45" s="35" t="s">
        <v>1551</v>
      </c>
      <c r="G45" s="34" t="s">
        <v>1552</v>
      </c>
      <c r="H45" s="34">
        <v>7.3090065E7</v>
      </c>
      <c r="I45" s="34" t="s">
        <v>1553</v>
      </c>
      <c r="J45" s="34" t="s">
        <v>1554</v>
      </c>
      <c r="K45" s="34">
        <v>9992099.0</v>
      </c>
      <c r="L45" s="36" t="s">
        <v>722</v>
      </c>
      <c r="M45" s="34" t="s">
        <v>1555</v>
      </c>
      <c r="N45" s="34" t="s">
        <v>1556</v>
      </c>
      <c r="O45" s="43" t="s">
        <v>1557</v>
      </c>
      <c r="P45" s="40" t="s">
        <v>1558</v>
      </c>
      <c r="Q45" s="40" t="s">
        <v>238</v>
      </c>
      <c r="R45" s="34">
        <v>6.7777366E7</v>
      </c>
      <c r="S45" s="34" t="s">
        <v>1559</v>
      </c>
      <c r="T45" s="38" t="s">
        <v>227</v>
      </c>
      <c r="U45" s="16" t="s">
        <v>380</v>
      </c>
      <c r="V45" s="34" t="s">
        <v>1560</v>
      </c>
      <c r="W45" s="34" t="s">
        <v>1561</v>
      </c>
      <c r="X45" s="37" t="s">
        <v>1562</v>
      </c>
      <c r="Y45" s="16" t="s">
        <v>1563</v>
      </c>
      <c r="Z45" s="16" t="s">
        <v>238</v>
      </c>
      <c r="AA45" s="34">
        <v>6.705387E7</v>
      </c>
      <c r="AB45" s="34" t="s">
        <v>1564</v>
      </c>
      <c r="AC45" s="38" t="s">
        <v>227</v>
      </c>
      <c r="AD45" s="16" t="s">
        <v>320</v>
      </c>
      <c r="AE45" s="34" t="s">
        <v>1552</v>
      </c>
      <c r="AF45" s="34" t="s">
        <v>1565</v>
      </c>
      <c r="AG45" s="37" t="s">
        <v>1566</v>
      </c>
      <c r="AH45" s="16" t="s">
        <v>1567</v>
      </c>
      <c r="AI45" s="16" t="s">
        <v>238</v>
      </c>
      <c r="AJ45" s="34">
        <v>7.3090065E7</v>
      </c>
      <c r="AK45" s="34" t="s">
        <v>1554</v>
      </c>
      <c r="AL45" s="38" t="s">
        <v>227</v>
      </c>
      <c r="AM45" s="16" t="s">
        <v>404</v>
      </c>
      <c r="AN45" s="34" t="s">
        <v>1568</v>
      </c>
      <c r="AO45" s="34" t="s">
        <v>1569</v>
      </c>
      <c r="AP45" s="21" t="s">
        <v>1570</v>
      </c>
      <c r="AQ45" s="22" t="s">
        <v>1571</v>
      </c>
      <c r="AR45" s="55" t="s">
        <v>238</v>
      </c>
      <c r="AS45" s="34">
        <v>7.4683581E7</v>
      </c>
      <c r="AT45" s="34" t="s">
        <v>1572</v>
      </c>
      <c r="AU45" s="38" t="s">
        <v>227</v>
      </c>
      <c r="AV45" s="40" t="s">
        <v>284</v>
      </c>
      <c r="AW45" s="34" t="s">
        <v>1573</v>
      </c>
      <c r="AX45" s="34" t="s">
        <v>1574</v>
      </c>
      <c r="AY45" s="29" t="s">
        <v>1575</v>
      </c>
      <c r="AZ45" s="39" t="s">
        <v>1576</v>
      </c>
      <c r="BA45" s="39" t="s">
        <v>238</v>
      </c>
      <c r="BB45" s="34">
        <v>7.5693232E7</v>
      </c>
      <c r="BC45" s="34" t="s">
        <v>1577</v>
      </c>
      <c r="BD45" s="38" t="s">
        <v>227</v>
      </c>
      <c r="BE45" s="39" t="s">
        <v>1578</v>
      </c>
      <c r="BF45" s="35" t="s">
        <v>1579</v>
      </c>
      <c r="BG45" s="34" t="s">
        <v>1580</v>
      </c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  <c r="CZ45" s="41"/>
      <c r="DA45" s="41"/>
      <c r="DB45" s="41"/>
      <c r="DC45" s="41"/>
      <c r="DD45" s="41"/>
      <c r="DE45" s="41"/>
      <c r="DF45" s="41"/>
      <c r="DG45" s="41"/>
      <c r="DH45" s="41"/>
      <c r="DI45" s="41"/>
      <c r="DJ45" s="41"/>
      <c r="DK45" s="41"/>
      <c r="DL45" s="41"/>
      <c r="DM45" s="41"/>
      <c r="DN45" s="41"/>
      <c r="DO45" s="41"/>
      <c r="DP45" s="41"/>
      <c r="DQ45" s="41"/>
      <c r="DR45" s="41"/>
      <c r="DS45" s="41"/>
      <c r="DT45" s="41"/>
      <c r="DU45" s="41"/>
      <c r="DV45" s="41"/>
      <c r="DW45" s="41"/>
      <c r="DX45" s="41"/>
      <c r="DY45" s="41"/>
      <c r="DZ45" s="41"/>
      <c r="EA45" s="41"/>
      <c r="EB45" s="41"/>
      <c r="EC45" s="41"/>
      <c r="ED45" s="41"/>
      <c r="EE45" s="41"/>
      <c r="EF45" s="41"/>
      <c r="EG45" s="41"/>
      <c r="EH45" s="41"/>
      <c r="EI45" s="41"/>
      <c r="EJ45" s="41"/>
      <c r="EK45" s="41"/>
      <c r="EL45" s="41"/>
      <c r="EM45" s="41"/>
      <c r="EN45" s="41"/>
      <c r="EO45" s="41"/>
      <c r="EP45" s="41"/>
      <c r="EQ45" s="41"/>
      <c r="ER45" s="41"/>
      <c r="ES45" s="41"/>
      <c r="ET45" s="41"/>
      <c r="EU45" s="41"/>
      <c r="EV45" s="41"/>
      <c r="EW45" s="41"/>
      <c r="EX45" s="41"/>
      <c r="EY45" s="41"/>
      <c r="EZ45" s="41"/>
      <c r="FA45" s="41"/>
      <c r="FB45" s="41"/>
      <c r="FC45" s="41"/>
      <c r="FD45" s="41"/>
      <c r="FE45" s="41"/>
      <c r="FF45" s="41"/>
      <c r="FG45" s="41"/>
      <c r="FH45" s="41"/>
      <c r="FI45" s="41"/>
      <c r="FJ45" s="41"/>
      <c r="FK45" s="41"/>
      <c r="FL45" s="41"/>
      <c r="FM45" s="41"/>
      <c r="FN45" s="41"/>
      <c r="FO45" s="41"/>
      <c r="FP45" s="41"/>
      <c r="FQ45" s="41"/>
      <c r="FR45" s="41"/>
      <c r="FS45" s="41"/>
      <c r="FT45" s="41"/>
      <c r="FU45" s="41"/>
      <c r="FV45" s="41"/>
      <c r="FW45" s="41"/>
      <c r="FX45" s="41"/>
      <c r="FY45" s="41"/>
      <c r="FZ45" s="41"/>
      <c r="GA45" s="41"/>
      <c r="GB45" s="41"/>
      <c r="GC45" s="41"/>
      <c r="GD45" s="41"/>
      <c r="GE45" s="41"/>
      <c r="GF45" s="41"/>
      <c r="GG45" s="41"/>
      <c r="GH45" s="41"/>
      <c r="GI45" s="41"/>
      <c r="GJ45" s="41"/>
      <c r="GK45" s="41"/>
      <c r="GL45" s="41"/>
      <c r="GM45" s="41"/>
      <c r="GN45" s="41"/>
      <c r="GO45" s="41"/>
      <c r="GP45" s="41"/>
      <c r="GQ45" s="41"/>
      <c r="GR45" s="41"/>
      <c r="GS45" s="41"/>
      <c r="GT45" s="41"/>
      <c r="GU45" s="41"/>
      <c r="GV45" s="41"/>
      <c r="GW45" s="41"/>
      <c r="GX45" s="41"/>
      <c r="GY45" s="41"/>
    </row>
    <row r="46" ht="22.5" customHeight="1">
      <c r="A46" s="65">
        <v>45921.964603263885</v>
      </c>
      <c r="B46" s="34" t="s">
        <v>1581</v>
      </c>
      <c r="C46" s="34" t="s">
        <v>1582</v>
      </c>
      <c r="D46" s="34" t="s">
        <v>215</v>
      </c>
      <c r="E46" s="35" t="s">
        <v>1583</v>
      </c>
      <c r="F46" s="35" t="s">
        <v>1584</v>
      </c>
      <c r="G46" s="34" t="s">
        <v>1585</v>
      </c>
      <c r="H46" s="34">
        <v>7.4764086E7</v>
      </c>
      <c r="I46" s="34" t="s">
        <v>1586</v>
      </c>
      <c r="J46" s="34" t="s">
        <v>1587</v>
      </c>
      <c r="K46" s="34">
        <v>7636750.0</v>
      </c>
      <c r="L46" s="20" t="s">
        <v>404</v>
      </c>
      <c r="M46" s="34" t="s">
        <v>1588</v>
      </c>
      <c r="N46" s="34" t="s">
        <v>1589</v>
      </c>
      <c r="O46" s="29" t="s">
        <v>1590</v>
      </c>
      <c r="P46" s="39" t="s">
        <v>1591</v>
      </c>
      <c r="Q46" s="22" t="s">
        <v>238</v>
      </c>
      <c r="R46" s="34">
        <v>7.5106949E7</v>
      </c>
      <c r="S46" s="34" t="s">
        <v>1592</v>
      </c>
      <c r="T46" s="38" t="s">
        <v>227</v>
      </c>
      <c r="U46" s="16" t="s">
        <v>220</v>
      </c>
      <c r="V46" s="34" t="s">
        <v>1593</v>
      </c>
      <c r="W46" s="34" t="s">
        <v>1594</v>
      </c>
      <c r="X46" s="43" t="s">
        <v>1595</v>
      </c>
      <c r="Z46" s="40" t="s">
        <v>238</v>
      </c>
      <c r="AA46" s="34">
        <v>7.5105897E7</v>
      </c>
      <c r="AB46" s="34" t="s">
        <v>1596</v>
      </c>
      <c r="AC46" s="38" t="s">
        <v>227</v>
      </c>
      <c r="AD46" s="16" t="s">
        <v>380</v>
      </c>
      <c r="AE46" s="34" t="s">
        <v>1597</v>
      </c>
      <c r="AF46" s="34" t="s">
        <v>1598</v>
      </c>
      <c r="AG46" s="29" t="s">
        <v>1599</v>
      </c>
      <c r="AI46" s="39" t="s">
        <v>238</v>
      </c>
      <c r="AJ46" s="34">
        <v>6.7664812E7</v>
      </c>
      <c r="AK46" s="34" t="s">
        <v>1600</v>
      </c>
      <c r="AL46" s="38" t="s">
        <v>227</v>
      </c>
      <c r="AM46" s="16" t="s">
        <v>300</v>
      </c>
      <c r="AN46" s="34" t="s">
        <v>1601</v>
      </c>
      <c r="AO46" s="34" t="s">
        <v>1602</v>
      </c>
      <c r="AP46" s="37" t="s">
        <v>1603</v>
      </c>
      <c r="AQ46" s="89"/>
      <c r="AR46" s="16" t="s">
        <v>238</v>
      </c>
      <c r="AS46" s="34">
        <v>7.1114347E7</v>
      </c>
      <c r="AT46" s="34" t="s">
        <v>1604</v>
      </c>
      <c r="AU46" s="38" t="s">
        <v>227</v>
      </c>
      <c r="AV46" s="40" t="s">
        <v>284</v>
      </c>
      <c r="AW46" s="34" t="s">
        <v>1585</v>
      </c>
      <c r="AX46" s="34" t="s">
        <v>1605</v>
      </c>
      <c r="AY46" s="29" t="s">
        <v>1606</v>
      </c>
      <c r="AZ46" s="85"/>
      <c r="BA46" s="22" t="s">
        <v>238</v>
      </c>
      <c r="BB46" s="34">
        <v>7.4764086E7</v>
      </c>
      <c r="BC46" s="34" t="s">
        <v>1587</v>
      </c>
      <c r="BD46" s="38" t="s">
        <v>227</v>
      </c>
      <c r="BE46" s="39" t="s">
        <v>1607</v>
      </c>
      <c r="BF46" s="35" t="s">
        <v>1608</v>
      </c>
      <c r="BG46" s="34" t="s">
        <v>1586</v>
      </c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/>
      <c r="CU46" s="41"/>
      <c r="CV46" s="41"/>
      <c r="CW46" s="41"/>
      <c r="CX46" s="41"/>
      <c r="CY46" s="41"/>
      <c r="CZ46" s="41"/>
      <c r="DA46" s="41"/>
      <c r="DB46" s="41"/>
      <c r="DC46" s="41"/>
      <c r="DD46" s="41"/>
      <c r="DE46" s="41"/>
      <c r="DF46" s="41"/>
      <c r="DG46" s="41"/>
      <c r="DH46" s="41"/>
      <c r="DI46" s="41"/>
      <c r="DJ46" s="41"/>
      <c r="DK46" s="41"/>
      <c r="DL46" s="41"/>
      <c r="DM46" s="41"/>
      <c r="DN46" s="41"/>
      <c r="DO46" s="41"/>
      <c r="DP46" s="41"/>
      <c r="DQ46" s="41"/>
      <c r="DR46" s="41"/>
      <c r="DS46" s="41"/>
      <c r="DT46" s="41"/>
      <c r="DU46" s="41"/>
      <c r="DV46" s="41"/>
      <c r="DW46" s="41"/>
      <c r="DX46" s="41"/>
      <c r="DY46" s="41"/>
      <c r="DZ46" s="41"/>
      <c r="EA46" s="41"/>
      <c r="EB46" s="41"/>
      <c r="EC46" s="41"/>
      <c r="ED46" s="41"/>
      <c r="EE46" s="41"/>
      <c r="EF46" s="41"/>
      <c r="EG46" s="41"/>
      <c r="EH46" s="41"/>
      <c r="EI46" s="41"/>
      <c r="EJ46" s="41"/>
      <c r="EK46" s="41"/>
      <c r="EL46" s="41"/>
      <c r="EM46" s="41"/>
      <c r="EN46" s="41"/>
      <c r="EO46" s="41"/>
      <c r="EP46" s="41"/>
      <c r="EQ46" s="41"/>
      <c r="ER46" s="41"/>
      <c r="ES46" s="41"/>
      <c r="ET46" s="41"/>
      <c r="EU46" s="41"/>
      <c r="EV46" s="41"/>
      <c r="EW46" s="41"/>
      <c r="EX46" s="41"/>
      <c r="EY46" s="41"/>
      <c r="EZ46" s="41"/>
      <c r="FA46" s="41"/>
      <c r="FB46" s="41"/>
      <c r="FC46" s="41"/>
      <c r="FD46" s="41"/>
      <c r="FE46" s="41"/>
      <c r="FF46" s="41"/>
      <c r="FG46" s="41"/>
      <c r="FH46" s="41"/>
      <c r="FI46" s="41"/>
      <c r="FJ46" s="41"/>
      <c r="FK46" s="41"/>
      <c r="FL46" s="41"/>
      <c r="FM46" s="41"/>
      <c r="FN46" s="41"/>
      <c r="FO46" s="41"/>
      <c r="FP46" s="41"/>
      <c r="FQ46" s="41"/>
      <c r="FR46" s="41"/>
      <c r="FS46" s="41"/>
      <c r="FT46" s="41"/>
      <c r="FU46" s="41"/>
      <c r="FV46" s="41"/>
      <c r="FW46" s="41"/>
      <c r="FX46" s="41"/>
      <c r="FY46" s="41"/>
      <c r="FZ46" s="41"/>
      <c r="GA46" s="41"/>
      <c r="GB46" s="41"/>
      <c r="GC46" s="41"/>
      <c r="GD46" s="41"/>
      <c r="GE46" s="41"/>
      <c r="GF46" s="41"/>
      <c r="GG46" s="41"/>
      <c r="GH46" s="41"/>
      <c r="GI46" s="41"/>
      <c r="GJ46" s="41"/>
      <c r="GK46" s="41"/>
      <c r="GL46" s="41"/>
      <c r="GM46" s="41"/>
      <c r="GN46" s="41"/>
      <c r="GO46" s="41"/>
      <c r="GP46" s="41"/>
      <c r="GQ46" s="41"/>
      <c r="GR46" s="41"/>
      <c r="GS46" s="41"/>
      <c r="GT46" s="41"/>
      <c r="GU46" s="41"/>
      <c r="GV46" s="41"/>
      <c r="GW46" s="41"/>
      <c r="GX46" s="41"/>
      <c r="GY46" s="41"/>
    </row>
    <row r="47" ht="22.5" customHeight="1">
      <c r="A47" s="65">
        <v>45921.97334673611</v>
      </c>
      <c r="B47" s="34" t="s">
        <v>1609</v>
      </c>
      <c r="C47" s="34" t="s">
        <v>1610</v>
      </c>
      <c r="D47" s="34" t="s">
        <v>225</v>
      </c>
      <c r="E47" s="35" t="s">
        <v>1611</v>
      </c>
      <c r="G47" s="34" t="s">
        <v>1612</v>
      </c>
      <c r="H47" s="34">
        <v>7.5467473E7</v>
      </c>
      <c r="I47" s="34" t="s">
        <v>1613</v>
      </c>
      <c r="J47" s="34" t="s">
        <v>1614</v>
      </c>
      <c r="K47" s="34" t="s">
        <v>1615</v>
      </c>
      <c r="L47" s="20" t="s">
        <v>320</v>
      </c>
      <c r="M47" s="34" t="s">
        <v>1616</v>
      </c>
      <c r="N47" s="34" t="s">
        <v>1617</v>
      </c>
      <c r="O47" s="37" t="s">
        <v>1618</v>
      </c>
      <c r="P47" s="16" t="s">
        <v>1619</v>
      </c>
      <c r="Q47" s="16" t="s">
        <v>238</v>
      </c>
      <c r="R47" s="34">
        <v>6.8514978E7</v>
      </c>
      <c r="S47" s="34" t="s">
        <v>1620</v>
      </c>
      <c r="T47" s="38" t="s">
        <v>227</v>
      </c>
      <c r="U47" s="16" t="s">
        <v>380</v>
      </c>
      <c r="V47" s="34" t="s">
        <v>1621</v>
      </c>
      <c r="W47" s="34" t="s">
        <v>1622</v>
      </c>
      <c r="X47" s="37" t="s">
        <v>1623</v>
      </c>
      <c r="Y47" s="16" t="s">
        <v>1624</v>
      </c>
      <c r="Z47" s="16" t="s">
        <v>238</v>
      </c>
      <c r="AA47" s="34">
        <v>7.079642E7</v>
      </c>
      <c r="AB47" s="34" t="s">
        <v>1625</v>
      </c>
      <c r="AC47" s="38" t="s">
        <v>227</v>
      </c>
      <c r="AD47" s="24" t="s">
        <v>278</v>
      </c>
      <c r="AE47" s="34" t="s">
        <v>1612</v>
      </c>
      <c r="AF47" s="34" t="s">
        <v>1626</v>
      </c>
      <c r="AG47" s="29" t="s">
        <v>1627</v>
      </c>
      <c r="AH47" s="39" t="s">
        <v>1628</v>
      </c>
      <c r="AI47" s="39" t="s">
        <v>238</v>
      </c>
      <c r="AJ47" s="34">
        <v>7.5467473E7</v>
      </c>
      <c r="AK47" s="34" t="s">
        <v>1614</v>
      </c>
      <c r="AL47" s="38" t="s">
        <v>227</v>
      </c>
      <c r="AM47" s="16" t="s">
        <v>220</v>
      </c>
      <c r="AN47" s="34" t="s">
        <v>1629</v>
      </c>
      <c r="AO47" s="34" t="s">
        <v>1630</v>
      </c>
      <c r="AP47" s="43" t="s">
        <v>1631</v>
      </c>
      <c r="AQ47" s="40" t="s">
        <v>1632</v>
      </c>
      <c r="AR47" s="39" t="s">
        <v>238</v>
      </c>
      <c r="AS47" s="34">
        <v>7.6455637E7</v>
      </c>
      <c r="AT47" s="34" t="s">
        <v>1633</v>
      </c>
      <c r="AU47" s="38" t="s">
        <v>227</v>
      </c>
      <c r="AV47" s="24" t="s">
        <v>260</v>
      </c>
      <c r="AW47" s="34" t="s">
        <v>1634</v>
      </c>
      <c r="AX47" s="34" t="s">
        <v>1635</v>
      </c>
      <c r="AY47" s="29" t="s">
        <v>1636</v>
      </c>
      <c r="AZ47" s="39" t="s">
        <v>1637</v>
      </c>
      <c r="BA47" s="39" t="s">
        <v>238</v>
      </c>
      <c r="BB47" s="34">
        <v>7.5988033E7</v>
      </c>
      <c r="BC47" s="34" t="s">
        <v>1638</v>
      </c>
      <c r="BD47" s="38" t="s">
        <v>227</v>
      </c>
      <c r="BE47" s="39" t="s">
        <v>1639</v>
      </c>
      <c r="BF47" s="35" t="s">
        <v>1640</v>
      </c>
      <c r="BG47" s="34" t="s">
        <v>1641</v>
      </c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/>
      <c r="CU47" s="41"/>
      <c r="CV47" s="41"/>
      <c r="CW47" s="41"/>
      <c r="CX47" s="41"/>
      <c r="CY47" s="41"/>
      <c r="CZ47" s="41"/>
      <c r="DA47" s="41"/>
      <c r="DB47" s="41"/>
      <c r="DC47" s="41"/>
      <c r="DD47" s="41"/>
      <c r="DE47" s="41"/>
      <c r="DF47" s="41"/>
      <c r="DG47" s="41"/>
      <c r="DH47" s="41"/>
      <c r="DI47" s="41"/>
      <c r="DJ47" s="41"/>
      <c r="DK47" s="41"/>
      <c r="DL47" s="41"/>
      <c r="DM47" s="41"/>
      <c r="DN47" s="41"/>
      <c r="DO47" s="41"/>
      <c r="DP47" s="41"/>
      <c r="DQ47" s="41"/>
      <c r="DR47" s="41"/>
      <c r="DS47" s="41"/>
      <c r="DT47" s="41"/>
      <c r="DU47" s="41"/>
      <c r="DV47" s="41"/>
      <c r="DW47" s="41"/>
      <c r="DX47" s="41"/>
      <c r="DY47" s="41"/>
      <c r="DZ47" s="41"/>
      <c r="EA47" s="41"/>
      <c r="EB47" s="41"/>
      <c r="EC47" s="41"/>
      <c r="ED47" s="41"/>
      <c r="EE47" s="41"/>
      <c r="EF47" s="41"/>
      <c r="EG47" s="41"/>
      <c r="EH47" s="41"/>
      <c r="EI47" s="41"/>
      <c r="EJ47" s="41"/>
      <c r="EK47" s="41"/>
      <c r="EL47" s="41"/>
      <c r="EM47" s="41"/>
      <c r="EN47" s="41"/>
      <c r="EO47" s="41"/>
      <c r="EP47" s="41"/>
      <c r="EQ47" s="41"/>
      <c r="ER47" s="41"/>
      <c r="ES47" s="41"/>
      <c r="ET47" s="41"/>
      <c r="EU47" s="41"/>
      <c r="EV47" s="41"/>
      <c r="EW47" s="41"/>
      <c r="EX47" s="41"/>
      <c r="EY47" s="41"/>
      <c r="EZ47" s="41"/>
      <c r="FA47" s="41"/>
      <c r="FB47" s="41"/>
      <c r="FC47" s="41"/>
      <c r="FD47" s="41"/>
      <c r="FE47" s="41"/>
      <c r="FF47" s="41"/>
      <c r="FG47" s="41"/>
      <c r="FH47" s="41"/>
      <c r="FI47" s="41"/>
      <c r="FJ47" s="41"/>
      <c r="FK47" s="41"/>
      <c r="FL47" s="41"/>
      <c r="FM47" s="41"/>
      <c r="FN47" s="41"/>
      <c r="FO47" s="41"/>
      <c r="FP47" s="41"/>
      <c r="FQ47" s="41"/>
      <c r="FR47" s="41"/>
      <c r="FS47" s="41"/>
      <c r="FT47" s="41"/>
      <c r="FU47" s="41"/>
      <c r="FV47" s="41"/>
      <c r="FW47" s="41"/>
      <c r="FX47" s="41"/>
      <c r="FY47" s="41"/>
      <c r="FZ47" s="41"/>
      <c r="GA47" s="41"/>
      <c r="GB47" s="41"/>
      <c r="GC47" s="41"/>
      <c r="GD47" s="41"/>
      <c r="GE47" s="41"/>
      <c r="GF47" s="41"/>
      <c r="GG47" s="41"/>
      <c r="GH47" s="41"/>
      <c r="GI47" s="41"/>
      <c r="GJ47" s="41"/>
      <c r="GK47" s="41"/>
      <c r="GL47" s="41"/>
      <c r="GM47" s="41"/>
      <c r="GN47" s="41"/>
      <c r="GO47" s="41"/>
      <c r="GP47" s="41"/>
      <c r="GQ47" s="41"/>
      <c r="GR47" s="41"/>
      <c r="GS47" s="41"/>
      <c r="GT47" s="41"/>
      <c r="GU47" s="41"/>
      <c r="GV47" s="41"/>
      <c r="GW47" s="41"/>
      <c r="GX47" s="41"/>
      <c r="GY47" s="41"/>
    </row>
    <row r="48" ht="22.5" customHeight="1">
      <c r="A48" s="83">
        <v>45922.01545760417</v>
      </c>
      <c r="B48" s="34" t="s">
        <v>1642</v>
      </c>
      <c r="C48" s="34" t="s">
        <v>1643</v>
      </c>
      <c r="D48" s="34" t="s">
        <v>215</v>
      </c>
      <c r="E48" s="35" t="s">
        <v>1644</v>
      </c>
      <c r="F48" s="35" t="s">
        <v>1645</v>
      </c>
      <c r="G48" s="34" t="s">
        <v>1646</v>
      </c>
      <c r="H48" s="34">
        <v>7.7201629E7</v>
      </c>
      <c r="I48" s="34" t="s">
        <v>1647</v>
      </c>
      <c r="J48" s="34" t="s">
        <v>1648</v>
      </c>
      <c r="K48" s="34">
        <v>1.3631098E7</v>
      </c>
      <c r="L48" s="20" t="s">
        <v>284</v>
      </c>
      <c r="M48" s="34" t="s">
        <v>1649</v>
      </c>
      <c r="N48" s="34" t="s">
        <v>1650</v>
      </c>
      <c r="O48" s="29" t="s">
        <v>1651</v>
      </c>
      <c r="P48" s="39" t="s">
        <v>1652</v>
      </c>
      <c r="Q48" s="39" t="s">
        <v>238</v>
      </c>
      <c r="R48" s="34">
        <v>6.7141384E7</v>
      </c>
      <c r="S48" s="34" t="s">
        <v>1653</v>
      </c>
      <c r="T48" s="38" t="s">
        <v>227</v>
      </c>
      <c r="U48" s="16" t="s">
        <v>380</v>
      </c>
      <c r="V48" s="34" t="s">
        <v>1654</v>
      </c>
      <c r="W48" s="34" t="s">
        <v>1655</v>
      </c>
      <c r="X48" s="29" t="s">
        <v>1656</v>
      </c>
      <c r="Y48" s="39" t="s">
        <v>1657</v>
      </c>
      <c r="Z48" s="22" t="s">
        <v>238</v>
      </c>
      <c r="AA48" s="34">
        <v>7.2558958E7</v>
      </c>
      <c r="AB48" s="34" t="s">
        <v>1658</v>
      </c>
      <c r="AC48" s="38" t="s">
        <v>227</v>
      </c>
      <c r="AD48" s="16" t="s">
        <v>380</v>
      </c>
      <c r="AE48" s="34" t="s">
        <v>1659</v>
      </c>
      <c r="AF48" s="34" t="s">
        <v>1660</v>
      </c>
      <c r="AG48" s="30" t="s">
        <v>1661</v>
      </c>
      <c r="AH48" s="31" t="s">
        <v>1662</v>
      </c>
      <c r="AI48" s="31" t="s">
        <v>238</v>
      </c>
      <c r="AJ48" s="34">
        <v>7.6501822E7</v>
      </c>
      <c r="AK48" s="34" t="s">
        <v>1663</v>
      </c>
      <c r="AL48" s="38" t="s">
        <v>227</v>
      </c>
      <c r="AM48" s="16" t="s">
        <v>404</v>
      </c>
      <c r="AN48" s="34" t="s">
        <v>1646</v>
      </c>
      <c r="AO48" s="34" t="s">
        <v>1664</v>
      </c>
      <c r="AP48" s="37" t="s">
        <v>1665</v>
      </c>
      <c r="AQ48" s="16" t="s">
        <v>1666</v>
      </c>
      <c r="AR48" s="16" t="s">
        <v>238</v>
      </c>
      <c r="AS48" s="34">
        <v>7.7201629E7</v>
      </c>
      <c r="AT48" s="34" t="s">
        <v>1667</v>
      </c>
      <c r="AU48" s="38" t="s">
        <v>227</v>
      </c>
      <c r="AV48" s="40" t="s">
        <v>320</v>
      </c>
      <c r="AW48" s="34" t="s">
        <v>1668</v>
      </c>
      <c r="AX48" s="34" t="s">
        <v>1669</v>
      </c>
      <c r="AY48" s="43" t="s">
        <v>1670</v>
      </c>
      <c r="AZ48" s="40" t="s">
        <v>1671</v>
      </c>
      <c r="BA48" s="40" t="s">
        <v>238</v>
      </c>
      <c r="BB48" s="34">
        <v>7.2731012E7</v>
      </c>
      <c r="BC48" s="34" t="s">
        <v>1672</v>
      </c>
      <c r="BD48" s="38" t="s">
        <v>227</v>
      </c>
      <c r="BE48" s="39" t="s">
        <v>1673</v>
      </c>
      <c r="BF48" s="35" t="s">
        <v>1674</v>
      </c>
      <c r="BG48" s="34" t="s">
        <v>1647</v>
      </c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  <c r="CY48" s="41"/>
      <c r="CZ48" s="41"/>
      <c r="DA48" s="41"/>
      <c r="DB48" s="41"/>
      <c r="DC48" s="41"/>
      <c r="DD48" s="41"/>
      <c r="DE48" s="41"/>
      <c r="DF48" s="41"/>
      <c r="DG48" s="41"/>
      <c r="DH48" s="41"/>
      <c r="DI48" s="41"/>
      <c r="DJ48" s="41"/>
      <c r="DK48" s="41"/>
      <c r="DL48" s="41"/>
      <c r="DM48" s="41"/>
      <c r="DN48" s="41"/>
      <c r="DO48" s="41"/>
      <c r="DP48" s="41"/>
      <c r="DQ48" s="41"/>
      <c r="DR48" s="41"/>
      <c r="DS48" s="41"/>
      <c r="DT48" s="41"/>
      <c r="DU48" s="41"/>
      <c r="DV48" s="41"/>
      <c r="DW48" s="41"/>
      <c r="DX48" s="41"/>
      <c r="DY48" s="41"/>
      <c r="DZ48" s="41"/>
      <c r="EA48" s="41"/>
      <c r="EB48" s="41"/>
      <c r="EC48" s="41"/>
      <c r="ED48" s="41"/>
      <c r="EE48" s="41"/>
      <c r="EF48" s="41"/>
      <c r="EG48" s="41"/>
      <c r="EH48" s="41"/>
      <c r="EI48" s="41"/>
      <c r="EJ48" s="41"/>
      <c r="EK48" s="41"/>
      <c r="EL48" s="41"/>
      <c r="EM48" s="41"/>
      <c r="EN48" s="41"/>
      <c r="EO48" s="41"/>
      <c r="EP48" s="41"/>
      <c r="EQ48" s="41"/>
      <c r="ER48" s="41"/>
      <c r="ES48" s="41"/>
      <c r="ET48" s="41"/>
      <c r="EU48" s="41"/>
      <c r="EV48" s="41"/>
      <c r="EW48" s="41"/>
      <c r="EX48" s="41"/>
      <c r="EY48" s="41"/>
      <c r="EZ48" s="41"/>
      <c r="FA48" s="41"/>
      <c r="FB48" s="41"/>
      <c r="FC48" s="41"/>
      <c r="FD48" s="41"/>
      <c r="FE48" s="41"/>
      <c r="FF48" s="41"/>
      <c r="FG48" s="41"/>
      <c r="FH48" s="41"/>
      <c r="FI48" s="41"/>
      <c r="FJ48" s="41"/>
      <c r="FK48" s="41"/>
      <c r="FL48" s="41"/>
      <c r="FM48" s="41"/>
      <c r="FN48" s="41"/>
      <c r="FO48" s="41"/>
      <c r="FP48" s="41"/>
      <c r="FQ48" s="41"/>
      <c r="FR48" s="41"/>
      <c r="FS48" s="41"/>
      <c r="FT48" s="41"/>
      <c r="FU48" s="41"/>
      <c r="FV48" s="41"/>
      <c r="FW48" s="41"/>
      <c r="FX48" s="41"/>
      <c r="FY48" s="41"/>
      <c r="FZ48" s="41"/>
      <c r="GA48" s="41"/>
      <c r="GB48" s="41"/>
      <c r="GC48" s="41"/>
      <c r="GD48" s="41"/>
      <c r="GE48" s="41"/>
      <c r="GF48" s="41"/>
      <c r="GG48" s="41"/>
      <c r="GH48" s="41"/>
      <c r="GI48" s="41"/>
      <c r="GJ48" s="41"/>
      <c r="GK48" s="41"/>
      <c r="GL48" s="41"/>
      <c r="GM48" s="41"/>
      <c r="GN48" s="41"/>
      <c r="GO48" s="41"/>
      <c r="GP48" s="41"/>
      <c r="GQ48" s="41"/>
      <c r="GR48" s="41"/>
      <c r="GS48" s="41"/>
      <c r="GT48" s="41"/>
      <c r="GU48" s="41"/>
      <c r="GV48" s="41"/>
      <c r="GW48" s="41"/>
      <c r="GX48" s="41"/>
      <c r="GY48" s="41"/>
    </row>
    <row r="49" ht="22.5" customHeight="1">
      <c r="A49" s="65">
        <v>45922.12312127315</v>
      </c>
      <c r="B49" s="34" t="s">
        <v>1675</v>
      </c>
      <c r="C49" s="34" t="s">
        <v>1676</v>
      </c>
      <c r="D49" s="34" t="s">
        <v>215</v>
      </c>
      <c r="E49" s="35" t="s">
        <v>1677</v>
      </c>
      <c r="F49" s="68" t="s">
        <v>1678</v>
      </c>
      <c r="G49" s="34" t="s">
        <v>1679</v>
      </c>
      <c r="H49" s="34" t="s">
        <v>1680</v>
      </c>
      <c r="I49" s="34" t="s">
        <v>1681</v>
      </c>
      <c r="J49" s="34" t="s">
        <v>1682</v>
      </c>
      <c r="K49" s="34">
        <v>8362523.0</v>
      </c>
      <c r="L49" s="90" t="s">
        <v>300</v>
      </c>
      <c r="M49" s="34" t="s">
        <v>1683</v>
      </c>
      <c r="N49" s="34" t="s">
        <v>1684</v>
      </c>
      <c r="O49" s="29" t="s">
        <v>1685</v>
      </c>
      <c r="P49" s="39" t="s">
        <v>1686</v>
      </c>
      <c r="Q49" s="22" t="s">
        <v>238</v>
      </c>
      <c r="R49" s="34">
        <v>7.1420538E7</v>
      </c>
      <c r="S49" s="34" t="s">
        <v>1687</v>
      </c>
      <c r="T49" s="38" t="s">
        <v>227</v>
      </c>
      <c r="U49" s="16" t="s">
        <v>380</v>
      </c>
      <c r="V49" s="34" t="s">
        <v>1688</v>
      </c>
      <c r="W49" s="34" t="s">
        <v>1689</v>
      </c>
      <c r="X49" s="81" t="s">
        <v>1690</v>
      </c>
      <c r="Y49" s="16" t="s">
        <v>1691</v>
      </c>
      <c r="Z49" s="16" t="s">
        <v>238</v>
      </c>
      <c r="AA49" s="34">
        <v>6.5106971E7</v>
      </c>
      <c r="AB49" s="34" t="s">
        <v>1692</v>
      </c>
      <c r="AC49" s="38" t="s">
        <v>227</v>
      </c>
      <c r="AD49" s="24" t="s">
        <v>272</v>
      </c>
      <c r="AE49" s="34" t="s">
        <v>1693</v>
      </c>
      <c r="AF49" s="34" t="s">
        <v>1694</v>
      </c>
      <c r="AG49" s="21" t="s">
        <v>1695</v>
      </c>
      <c r="AH49" s="22" t="s">
        <v>393</v>
      </c>
      <c r="AI49" s="22" t="s">
        <v>225</v>
      </c>
      <c r="AJ49" s="34" t="s">
        <v>1696</v>
      </c>
      <c r="AK49" s="34" t="s">
        <v>1697</v>
      </c>
      <c r="AL49" s="38" t="s">
        <v>227</v>
      </c>
      <c r="AM49" s="16" t="s">
        <v>300</v>
      </c>
      <c r="AN49" s="34" t="s">
        <v>1698</v>
      </c>
      <c r="AO49" s="34" t="s">
        <v>1699</v>
      </c>
      <c r="AP49" s="37" t="s">
        <v>1700</v>
      </c>
      <c r="AQ49" s="16" t="s">
        <v>1701</v>
      </c>
      <c r="AR49" s="16" t="s">
        <v>238</v>
      </c>
      <c r="AS49" s="34">
        <v>7.4082184E7</v>
      </c>
      <c r="AT49" s="34" t="s">
        <v>1702</v>
      </c>
      <c r="AU49" s="38" t="s">
        <v>227</v>
      </c>
      <c r="AV49" s="40" t="s">
        <v>320</v>
      </c>
      <c r="AW49" s="34" t="s">
        <v>1703</v>
      </c>
      <c r="AX49" s="34" t="s">
        <v>1704</v>
      </c>
      <c r="AY49" s="29" t="s">
        <v>1705</v>
      </c>
      <c r="AZ49" s="22" t="s">
        <v>232</v>
      </c>
      <c r="BA49" s="22" t="s">
        <v>238</v>
      </c>
      <c r="BB49" s="34">
        <v>7.7710793E7</v>
      </c>
      <c r="BC49" s="34" t="s">
        <v>1706</v>
      </c>
      <c r="BD49" s="38" t="s">
        <v>227</v>
      </c>
      <c r="BE49" s="16" t="s">
        <v>1707</v>
      </c>
      <c r="BF49" s="35" t="s">
        <v>1708</v>
      </c>
      <c r="BG49" s="34" t="s">
        <v>1709</v>
      </c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/>
      <c r="CU49" s="41"/>
      <c r="CV49" s="41"/>
      <c r="CW49" s="41"/>
      <c r="CX49" s="41"/>
      <c r="CY49" s="41"/>
      <c r="CZ49" s="41"/>
      <c r="DA49" s="41"/>
      <c r="DB49" s="41"/>
      <c r="DC49" s="41"/>
      <c r="DD49" s="41"/>
      <c r="DE49" s="41"/>
      <c r="DF49" s="41"/>
      <c r="DG49" s="41"/>
      <c r="DH49" s="41"/>
      <c r="DI49" s="41"/>
      <c r="DJ49" s="41"/>
      <c r="DK49" s="41"/>
      <c r="DL49" s="41"/>
      <c r="DM49" s="41"/>
      <c r="DN49" s="41"/>
      <c r="DO49" s="41"/>
      <c r="DP49" s="41"/>
      <c r="DQ49" s="41"/>
      <c r="DR49" s="41"/>
      <c r="DS49" s="41"/>
      <c r="DT49" s="41"/>
      <c r="DU49" s="41"/>
      <c r="DV49" s="41"/>
      <c r="DW49" s="41"/>
      <c r="DX49" s="41"/>
      <c r="DY49" s="41"/>
      <c r="DZ49" s="41"/>
      <c r="EA49" s="41"/>
      <c r="EB49" s="41"/>
      <c r="EC49" s="41"/>
      <c r="ED49" s="41"/>
      <c r="EE49" s="41"/>
      <c r="EF49" s="41"/>
      <c r="EG49" s="41"/>
      <c r="EH49" s="41"/>
      <c r="EI49" s="41"/>
      <c r="EJ49" s="41"/>
      <c r="EK49" s="41"/>
      <c r="EL49" s="41"/>
      <c r="EM49" s="41"/>
      <c r="EN49" s="41"/>
      <c r="EO49" s="41"/>
      <c r="EP49" s="41"/>
      <c r="EQ49" s="41"/>
      <c r="ER49" s="41"/>
      <c r="ES49" s="41"/>
      <c r="ET49" s="41"/>
      <c r="EU49" s="41"/>
      <c r="EV49" s="41"/>
      <c r="EW49" s="41"/>
      <c r="EX49" s="41"/>
      <c r="EY49" s="41"/>
      <c r="EZ49" s="41"/>
      <c r="FA49" s="41"/>
      <c r="FB49" s="41"/>
      <c r="FC49" s="41"/>
      <c r="FD49" s="41"/>
      <c r="FE49" s="41"/>
      <c r="FF49" s="41"/>
      <c r="FG49" s="41"/>
      <c r="FH49" s="41"/>
      <c r="FI49" s="41"/>
      <c r="FJ49" s="41"/>
      <c r="FK49" s="41"/>
      <c r="FL49" s="41"/>
      <c r="FM49" s="41"/>
      <c r="FN49" s="41"/>
      <c r="FO49" s="41"/>
      <c r="FP49" s="41"/>
      <c r="FQ49" s="41"/>
      <c r="FR49" s="41"/>
      <c r="FS49" s="41"/>
      <c r="FT49" s="41"/>
      <c r="FU49" s="41"/>
      <c r="FV49" s="41"/>
      <c r="FW49" s="41"/>
      <c r="FX49" s="41"/>
      <c r="FY49" s="41"/>
      <c r="FZ49" s="41"/>
      <c r="GA49" s="41"/>
      <c r="GB49" s="41"/>
      <c r="GC49" s="41"/>
      <c r="GD49" s="41"/>
      <c r="GE49" s="41"/>
      <c r="GF49" s="41"/>
      <c r="GG49" s="41"/>
      <c r="GH49" s="41"/>
      <c r="GI49" s="41"/>
      <c r="GJ49" s="41"/>
      <c r="GK49" s="41"/>
      <c r="GL49" s="41"/>
      <c r="GM49" s="41"/>
      <c r="GN49" s="41"/>
      <c r="GO49" s="41"/>
      <c r="GP49" s="41"/>
      <c r="GQ49" s="41"/>
      <c r="GR49" s="41"/>
      <c r="GS49" s="41"/>
      <c r="GT49" s="41"/>
      <c r="GU49" s="41"/>
      <c r="GV49" s="41"/>
      <c r="GW49" s="41"/>
      <c r="GX49" s="41"/>
      <c r="GY49" s="41"/>
    </row>
    <row r="50" ht="22.5" customHeight="1">
      <c r="A50" s="65">
        <v>45922.606033194446</v>
      </c>
      <c r="B50" s="34" t="s">
        <v>1710</v>
      </c>
      <c r="C50" s="34" t="s">
        <v>1711</v>
      </c>
      <c r="D50" s="34" t="s">
        <v>215</v>
      </c>
      <c r="E50" s="35" t="s">
        <v>1712</v>
      </c>
      <c r="F50" s="35" t="s">
        <v>1713</v>
      </c>
      <c r="G50" s="34" t="s">
        <v>1714</v>
      </c>
      <c r="H50" s="34">
        <v>7.5564461E7</v>
      </c>
      <c r="I50" s="34" t="s">
        <v>1715</v>
      </c>
      <c r="J50" s="34" t="s">
        <v>1716</v>
      </c>
      <c r="K50" s="34">
        <v>1.3509249E7</v>
      </c>
      <c r="L50" s="91" t="s">
        <v>220</v>
      </c>
      <c r="M50" s="34" t="s">
        <v>1714</v>
      </c>
      <c r="N50" s="34" t="s">
        <v>1717</v>
      </c>
      <c r="O50" s="29" t="s">
        <v>1718</v>
      </c>
      <c r="P50" s="39" t="s">
        <v>1719</v>
      </c>
      <c r="Q50" s="22" t="s">
        <v>238</v>
      </c>
      <c r="R50" s="34">
        <v>7.5564461E7</v>
      </c>
      <c r="S50" s="34" t="s">
        <v>1720</v>
      </c>
      <c r="T50" s="38" t="s">
        <v>227</v>
      </c>
      <c r="U50" s="16" t="s">
        <v>220</v>
      </c>
      <c r="V50" s="34" t="s">
        <v>1721</v>
      </c>
      <c r="W50" s="34" t="s">
        <v>1722</v>
      </c>
      <c r="X50" s="29" t="s">
        <v>1723</v>
      </c>
      <c r="Y50" s="55" t="s">
        <v>1724</v>
      </c>
      <c r="Z50" s="22" t="s">
        <v>238</v>
      </c>
      <c r="AA50" s="34">
        <v>6.1590962E7</v>
      </c>
      <c r="AB50" s="34" t="s">
        <v>1725</v>
      </c>
      <c r="AC50" s="38" t="s">
        <v>227</v>
      </c>
      <c r="AD50" s="16" t="s">
        <v>404</v>
      </c>
      <c r="AE50" s="34" t="s">
        <v>1726</v>
      </c>
      <c r="AF50" s="34" t="s">
        <v>1727</v>
      </c>
      <c r="AG50" s="29" t="s">
        <v>1728</v>
      </c>
      <c r="AH50" s="39" t="s">
        <v>1729</v>
      </c>
      <c r="AI50" s="39" t="s">
        <v>238</v>
      </c>
      <c r="AJ50" s="34">
        <v>6.9117428E7</v>
      </c>
      <c r="AK50" s="34" t="s">
        <v>1730</v>
      </c>
      <c r="AL50" s="38" t="s">
        <v>227</v>
      </c>
      <c r="AM50" s="16" t="s">
        <v>300</v>
      </c>
      <c r="AN50" s="34" t="s">
        <v>1731</v>
      </c>
      <c r="AO50" s="34" t="s">
        <v>1732</v>
      </c>
      <c r="AP50" s="37" t="s">
        <v>1733</v>
      </c>
      <c r="AQ50" s="16" t="s">
        <v>1734</v>
      </c>
      <c r="AR50" s="16" t="s">
        <v>238</v>
      </c>
      <c r="AS50" s="34">
        <v>7.1454527E7</v>
      </c>
      <c r="AT50" s="34" t="s">
        <v>1735</v>
      </c>
      <c r="AU50" s="38" t="s">
        <v>227</v>
      </c>
      <c r="AV50" s="40" t="s">
        <v>320</v>
      </c>
      <c r="AW50" s="34" t="s">
        <v>1736</v>
      </c>
      <c r="AX50" s="34" t="s">
        <v>1737</v>
      </c>
      <c r="AY50" s="29" t="s">
        <v>1738</v>
      </c>
      <c r="AZ50" s="39" t="s">
        <v>1739</v>
      </c>
      <c r="BA50" s="22" t="s">
        <v>238</v>
      </c>
      <c r="BB50" s="34">
        <v>7.5569963E7</v>
      </c>
      <c r="BC50" s="34" t="s">
        <v>1740</v>
      </c>
      <c r="BD50" s="38" t="s">
        <v>227</v>
      </c>
      <c r="BE50" s="39" t="s">
        <v>1741</v>
      </c>
      <c r="BF50" s="34" t="s">
        <v>1742</v>
      </c>
      <c r="BG50" s="34" t="s">
        <v>1715</v>
      </c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/>
      <c r="DA50" s="41"/>
      <c r="DB50" s="41"/>
      <c r="DC50" s="41"/>
      <c r="DD50" s="41"/>
      <c r="DE50" s="41"/>
      <c r="DF50" s="41"/>
      <c r="DG50" s="41"/>
      <c r="DH50" s="41"/>
      <c r="DI50" s="41"/>
      <c r="DJ50" s="41"/>
      <c r="DK50" s="41"/>
      <c r="DL50" s="41"/>
      <c r="DM50" s="41"/>
      <c r="DN50" s="41"/>
      <c r="DO50" s="41"/>
      <c r="DP50" s="41"/>
      <c r="DQ50" s="41"/>
      <c r="DR50" s="41"/>
      <c r="DS50" s="41"/>
      <c r="DT50" s="41"/>
      <c r="DU50" s="41"/>
      <c r="DV50" s="41"/>
      <c r="DW50" s="41"/>
      <c r="DX50" s="41"/>
      <c r="DY50" s="41"/>
      <c r="DZ50" s="41"/>
      <c r="EA50" s="41"/>
      <c r="EB50" s="41"/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41"/>
      <c r="EQ50" s="41"/>
      <c r="ER50" s="41"/>
      <c r="ES50" s="41"/>
      <c r="ET50" s="41"/>
      <c r="EU50" s="41"/>
      <c r="EV50" s="41"/>
      <c r="EW50" s="41"/>
      <c r="EX50" s="41"/>
      <c r="EY50" s="41"/>
      <c r="EZ50" s="41"/>
      <c r="FA50" s="41"/>
      <c r="FB50" s="41"/>
      <c r="FC50" s="41"/>
      <c r="FD50" s="41"/>
      <c r="FE50" s="41"/>
      <c r="FF50" s="41"/>
      <c r="FG50" s="41"/>
      <c r="FH50" s="41"/>
      <c r="FI50" s="41"/>
      <c r="FJ50" s="41"/>
      <c r="FK50" s="41"/>
      <c r="FL50" s="41"/>
      <c r="FM50" s="41"/>
      <c r="FN50" s="41"/>
      <c r="FO50" s="41"/>
      <c r="FP50" s="41"/>
      <c r="FQ50" s="41"/>
      <c r="FR50" s="41"/>
      <c r="FS50" s="41"/>
      <c r="FT50" s="41"/>
      <c r="FU50" s="41"/>
      <c r="FV50" s="41"/>
      <c r="FW50" s="41"/>
      <c r="FX50" s="41"/>
      <c r="FY50" s="41"/>
      <c r="FZ50" s="41"/>
      <c r="GA50" s="41"/>
      <c r="GB50" s="41"/>
      <c r="GC50" s="41"/>
      <c r="GD50" s="41"/>
      <c r="GE50" s="41"/>
      <c r="GF50" s="41"/>
      <c r="GG50" s="41"/>
      <c r="GH50" s="41"/>
      <c r="GI50" s="41"/>
      <c r="GJ50" s="41"/>
      <c r="GK50" s="41"/>
      <c r="GL50" s="41"/>
      <c r="GM50" s="41"/>
      <c r="GN50" s="41"/>
      <c r="GO50" s="41"/>
      <c r="GP50" s="41"/>
      <c r="GQ50" s="41"/>
      <c r="GR50" s="41"/>
      <c r="GS50" s="41"/>
      <c r="GT50" s="41"/>
      <c r="GU50" s="41"/>
      <c r="GV50" s="41"/>
      <c r="GW50" s="41"/>
      <c r="GX50" s="41"/>
      <c r="GY50" s="41"/>
    </row>
    <row r="51" ht="22.5" customHeight="1">
      <c r="A51" s="65">
        <v>45922.856578402774</v>
      </c>
      <c r="B51" s="34" t="s">
        <v>1743</v>
      </c>
      <c r="C51" s="34" t="s">
        <v>1744</v>
      </c>
      <c r="D51" s="34" t="s">
        <v>215</v>
      </c>
      <c r="E51" s="35" t="s">
        <v>1745</v>
      </c>
      <c r="F51" s="35" t="s">
        <v>1746</v>
      </c>
      <c r="G51" s="34" t="s">
        <v>1747</v>
      </c>
      <c r="H51" s="34">
        <v>6.2368587E7</v>
      </c>
      <c r="I51" s="34" t="s">
        <v>1748</v>
      </c>
      <c r="J51" s="34" t="s">
        <v>1749</v>
      </c>
      <c r="K51" s="34">
        <v>1.3792255E7</v>
      </c>
      <c r="L51" s="16" t="s">
        <v>284</v>
      </c>
      <c r="M51" s="34" t="s">
        <v>1750</v>
      </c>
      <c r="N51" s="34" t="s">
        <v>1751</v>
      </c>
      <c r="O51" s="43" t="s">
        <v>1752</v>
      </c>
      <c r="P51" s="22" t="s">
        <v>1753</v>
      </c>
      <c r="Q51" s="22" t="s">
        <v>225</v>
      </c>
      <c r="R51" s="34">
        <v>7.8986082E7</v>
      </c>
      <c r="S51" s="34" t="s">
        <v>1754</v>
      </c>
      <c r="T51" s="34" t="s">
        <v>227</v>
      </c>
      <c r="U51" s="16" t="s">
        <v>320</v>
      </c>
      <c r="V51" s="34" t="s">
        <v>1755</v>
      </c>
      <c r="W51" s="34" t="s">
        <v>1756</v>
      </c>
      <c r="X51" s="29" t="s">
        <v>1757</v>
      </c>
      <c r="Y51" s="39" t="s">
        <v>1758</v>
      </c>
      <c r="Z51" s="39" t="s">
        <v>225</v>
      </c>
      <c r="AA51" s="34">
        <v>7.8823674E7</v>
      </c>
      <c r="AB51" s="34" t="s">
        <v>1759</v>
      </c>
      <c r="AC51" s="34" t="s">
        <v>227</v>
      </c>
      <c r="AD51" s="16" t="s">
        <v>320</v>
      </c>
      <c r="AE51" s="34" t="s">
        <v>1760</v>
      </c>
      <c r="AF51" s="34" t="s">
        <v>1761</v>
      </c>
      <c r="AG51" s="29" t="s">
        <v>1762</v>
      </c>
      <c r="AH51" s="39" t="s">
        <v>1763</v>
      </c>
      <c r="AI51" s="22" t="s">
        <v>225</v>
      </c>
      <c r="AJ51" s="34">
        <v>7.8833843E7</v>
      </c>
      <c r="AK51" s="34" t="s">
        <v>1764</v>
      </c>
      <c r="AL51" s="34" t="s">
        <v>227</v>
      </c>
      <c r="AM51" s="16" t="s">
        <v>380</v>
      </c>
      <c r="AN51" s="34" t="s">
        <v>1747</v>
      </c>
      <c r="AO51" s="34" t="s">
        <v>1765</v>
      </c>
      <c r="AP51" s="37" t="s">
        <v>1766</v>
      </c>
      <c r="AQ51" s="16" t="s">
        <v>1767</v>
      </c>
      <c r="AR51" s="16" t="s">
        <v>225</v>
      </c>
      <c r="AS51" s="34">
        <v>6.2368587E7</v>
      </c>
      <c r="AT51" s="34" t="s">
        <v>1768</v>
      </c>
      <c r="AU51" s="34" t="s">
        <v>227</v>
      </c>
      <c r="AV51" s="92" t="s">
        <v>320</v>
      </c>
      <c r="AW51" s="34" t="s">
        <v>1769</v>
      </c>
      <c r="AX51" s="34" t="s">
        <v>1770</v>
      </c>
      <c r="AY51" s="37" t="s">
        <v>1771</v>
      </c>
      <c r="AZ51" s="16" t="s">
        <v>1772</v>
      </c>
      <c r="BA51" s="16" t="s">
        <v>238</v>
      </c>
      <c r="BB51" s="34">
        <v>6.7313077E7</v>
      </c>
      <c r="BC51" s="34" t="s">
        <v>1773</v>
      </c>
      <c r="BD51" s="34" t="s">
        <v>227</v>
      </c>
      <c r="BE51" s="34" t="s">
        <v>1774</v>
      </c>
      <c r="BF51" s="35" t="s">
        <v>1775</v>
      </c>
      <c r="BG51" s="34" t="s">
        <v>1776</v>
      </c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  <c r="DJ51" s="41"/>
      <c r="DK51" s="41"/>
      <c r="DL51" s="41"/>
      <c r="DM51" s="41"/>
      <c r="DN51" s="41"/>
      <c r="DO51" s="41"/>
      <c r="DP51" s="41"/>
      <c r="DQ51" s="41"/>
      <c r="DR51" s="41"/>
      <c r="DS51" s="41"/>
      <c r="DT51" s="41"/>
      <c r="DU51" s="41"/>
      <c r="DV51" s="41"/>
      <c r="DW51" s="41"/>
      <c r="DX51" s="41"/>
      <c r="DY51" s="41"/>
      <c r="DZ51" s="41"/>
      <c r="EA51" s="41"/>
      <c r="EB51" s="41"/>
      <c r="EC51" s="41"/>
      <c r="ED51" s="41"/>
      <c r="EE51" s="41"/>
      <c r="EF51" s="41"/>
      <c r="EG51" s="41"/>
      <c r="EH51" s="41"/>
      <c r="EI51" s="41"/>
      <c r="EJ51" s="41"/>
      <c r="EK51" s="41"/>
      <c r="EL51" s="41"/>
      <c r="EM51" s="41"/>
      <c r="EN51" s="41"/>
      <c r="EO51" s="41"/>
      <c r="EP51" s="41"/>
      <c r="EQ51" s="41"/>
      <c r="ER51" s="41"/>
      <c r="ES51" s="41"/>
      <c r="ET51" s="41"/>
      <c r="EU51" s="41"/>
      <c r="EV51" s="41"/>
      <c r="EW51" s="41"/>
      <c r="EX51" s="41"/>
      <c r="EY51" s="41"/>
      <c r="EZ51" s="41"/>
      <c r="FA51" s="41"/>
      <c r="FB51" s="41"/>
      <c r="FC51" s="41"/>
      <c r="FD51" s="41"/>
      <c r="FE51" s="41"/>
      <c r="FF51" s="41"/>
      <c r="FG51" s="41"/>
      <c r="FH51" s="41"/>
      <c r="FI51" s="41"/>
      <c r="FJ51" s="41"/>
      <c r="FK51" s="41"/>
      <c r="FL51" s="41"/>
      <c r="FM51" s="41"/>
      <c r="FN51" s="41"/>
      <c r="FO51" s="41"/>
      <c r="FP51" s="41"/>
      <c r="FQ51" s="41"/>
      <c r="FR51" s="41"/>
      <c r="FS51" s="41"/>
      <c r="FT51" s="41"/>
      <c r="FU51" s="41"/>
      <c r="FV51" s="41"/>
      <c r="FW51" s="41"/>
      <c r="FX51" s="41"/>
      <c r="FY51" s="41"/>
      <c r="FZ51" s="41"/>
      <c r="GA51" s="41"/>
      <c r="GB51" s="41"/>
      <c r="GC51" s="41"/>
      <c r="GD51" s="41"/>
      <c r="GE51" s="41"/>
      <c r="GF51" s="41"/>
      <c r="GG51" s="41"/>
      <c r="GH51" s="41"/>
      <c r="GI51" s="41"/>
      <c r="GJ51" s="41"/>
      <c r="GK51" s="41"/>
      <c r="GL51" s="41"/>
      <c r="GM51" s="41"/>
      <c r="GN51" s="41"/>
      <c r="GO51" s="41"/>
      <c r="GP51" s="41"/>
      <c r="GQ51" s="41"/>
      <c r="GR51" s="41"/>
      <c r="GS51" s="41"/>
      <c r="GT51" s="41"/>
      <c r="GU51" s="41"/>
      <c r="GV51" s="41"/>
      <c r="GW51" s="41"/>
      <c r="GX51" s="41"/>
      <c r="GY51" s="41"/>
    </row>
    <row r="52" ht="22.5" customHeight="1">
      <c r="A52" s="65">
        <v>45922.874021932876</v>
      </c>
      <c r="B52" s="34" t="s">
        <v>1777</v>
      </c>
      <c r="C52" s="34" t="s">
        <v>1778</v>
      </c>
      <c r="D52" s="34" t="s">
        <v>215</v>
      </c>
      <c r="E52" s="35" t="s">
        <v>1779</v>
      </c>
      <c r="F52" s="35" t="s">
        <v>1780</v>
      </c>
      <c r="G52" s="34" t="s">
        <v>1781</v>
      </c>
      <c r="H52" s="34">
        <v>6.5676474E7</v>
      </c>
      <c r="I52" s="34" t="s">
        <v>1782</v>
      </c>
      <c r="J52" s="34" t="s">
        <v>1783</v>
      </c>
      <c r="K52" s="34">
        <v>1.2636502E7</v>
      </c>
      <c r="L52" s="16" t="s">
        <v>284</v>
      </c>
      <c r="M52" s="34" t="s">
        <v>1784</v>
      </c>
      <c r="N52" s="34" t="s">
        <v>1785</v>
      </c>
      <c r="O52" s="29" t="s">
        <v>1786</v>
      </c>
      <c r="P52" s="39" t="s">
        <v>1787</v>
      </c>
      <c r="Q52" s="39" t="s">
        <v>238</v>
      </c>
      <c r="R52" s="34">
        <v>7.3226146E7</v>
      </c>
      <c r="S52" s="34" t="s">
        <v>1788</v>
      </c>
      <c r="T52" s="34" t="s">
        <v>227</v>
      </c>
      <c r="U52" s="16" t="s">
        <v>300</v>
      </c>
      <c r="V52" s="34" t="s">
        <v>1789</v>
      </c>
      <c r="W52" s="34" t="s">
        <v>1790</v>
      </c>
      <c r="X52" s="29" t="s">
        <v>1791</v>
      </c>
      <c r="Y52" s="22" t="s">
        <v>1792</v>
      </c>
      <c r="Z52" s="22" t="s">
        <v>238</v>
      </c>
      <c r="AA52" s="34">
        <v>6.5676474E7</v>
      </c>
      <c r="AB52" s="34" t="s">
        <v>1793</v>
      </c>
      <c r="AC52" s="34" t="s">
        <v>227</v>
      </c>
      <c r="AD52" s="16" t="s">
        <v>300</v>
      </c>
      <c r="AE52" s="34" t="s">
        <v>1794</v>
      </c>
      <c r="AF52" s="34" t="s">
        <v>1795</v>
      </c>
      <c r="AG52" s="29" t="s">
        <v>1796</v>
      </c>
      <c r="AH52" s="22" t="s">
        <v>1787</v>
      </c>
      <c r="AI52" s="22" t="s">
        <v>225</v>
      </c>
      <c r="AJ52" s="34">
        <v>7.7766712E7</v>
      </c>
      <c r="AK52" s="34" t="s">
        <v>1797</v>
      </c>
      <c r="AL52" s="34" t="s">
        <v>227</v>
      </c>
      <c r="AM52" s="16" t="s">
        <v>300</v>
      </c>
      <c r="AN52" s="34" t="s">
        <v>1798</v>
      </c>
      <c r="AO52" s="34" t="s">
        <v>1799</v>
      </c>
      <c r="AP52" s="29" t="s">
        <v>1800</v>
      </c>
      <c r="AQ52" s="39" t="s">
        <v>1801</v>
      </c>
      <c r="AR52" s="22" t="s">
        <v>225</v>
      </c>
      <c r="AS52" s="34">
        <v>7.7584669E7</v>
      </c>
      <c r="AT52" s="34" t="s">
        <v>1802</v>
      </c>
      <c r="AU52" s="34" t="s">
        <v>227</v>
      </c>
      <c r="AV52" s="92" t="s">
        <v>300</v>
      </c>
      <c r="AW52" s="34" t="s">
        <v>1803</v>
      </c>
      <c r="AX52" s="34" t="s">
        <v>1804</v>
      </c>
      <c r="AY52" s="29" t="s">
        <v>1805</v>
      </c>
      <c r="AZ52" s="34" t="s">
        <v>1787</v>
      </c>
      <c r="BA52" s="22" t="s">
        <v>225</v>
      </c>
      <c r="BB52" s="34">
        <v>7.9650095E7</v>
      </c>
      <c r="BC52" s="34" t="s">
        <v>1806</v>
      </c>
      <c r="BD52" s="34" t="s">
        <v>227</v>
      </c>
      <c r="BE52" s="34" t="s">
        <v>1807</v>
      </c>
      <c r="BF52" s="34" t="s">
        <v>1808</v>
      </c>
      <c r="BG52" s="34" t="s">
        <v>1782</v>
      </c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/>
      <c r="DN52" s="41"/>
      <c r="DO52" s="41"/>
      <c r="DP52" s="41"/>
      <c r="DQ52" s="41"/>
      <c r="DR52" s="41"/>
      <c r="DS52" s="41"/>
      <c r="DT52" s="41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  <c r="EF52" s="41"/>
      <c r="EG52" s="41"/>
      <c r="EH52" s="41"/>
      <c r="EI52" s="41"/>
      <c r="EJ52" s="41"/>
      <c r="EK52" s="41"/>
      <c r="EL52" s="41"/>
      <c r="EM52" s="41"/>
      <c r="EN52" s="41"/>
      <c r="EO52" s="41"/>
      <c r="EP52" s="41"/>
      <c r="EQ52" s="41"/>
      <c r="ER52" s="41"/>
      <c r="ES52" s="41"/>
      <c r="ET52" s="41"/>
      <c r="EU52" s="41"/>
      <c r="EV52" s="41"/>
      <c r="EW52" s="41"/>
      <c r="EX52" s="41"/>
      <c r="EY52" s="41"/>
      <c r="EZ52" s="41"/>
      <c r="FA52" s="41"/>
      <c r="FB52" s="41"/>
      <c r="FC52" s="41"/>
      <c r="FD52" s="41"/>
      <c r="FE52" s="41"/>
      <c r="FF52" s="41"/>
      <c r="FG52" s="41"/>
      <c r="FH52" s="41"/>
      <c r="FI52" s="41"/>
      <c r="FJ52" s="41"/>
      <c r="FK52" s="41"/>
      <c r="FL52" s="41"/>
      <c r="FM52" s="41"/>
      <c r="FN52" s="41"/>
      <c r="FO52" s="41"/>
      <c r="FP52" s="41"/>
      <c r="FQ52" s="41"/>
      <c r="FR52" s="41"/>
      <c r="FS52" s="41"/>
      <c r="FT52" s="41"/>
      <c r="FU52" s="41"/>
      <c r="FV52" s="41"/>
      <c r="FW52" s="41"/>
      <c r="FX52" s="41"/>
      <c r="FY52" s="41"/>
      <c r="FZ52" s="41"/>
      <c r="GA52" s="41"/>
      <c r="GB52" s="41"/>
      <c r="GC52" s="41"/>
      <c r="GD52" s="41"/>
      <c r="GE52" s="41"/>
      <c r="GF52" s="41"/>
      <c r="GG52" s="41"/>
      <c r="GH52" s="41"/>
      <c r="GI52" s="41"/>
      <c r="GJ52" s="41"/>
      <c r="GK52" s="41"/>
      <c r="GL52" s="41"/>
      <c r="GM52" s="41"/>
      <c r="GN52" s="41"/>
      <c r="GO52" s="41"/>
      <c r="GP52" s="41"/>
      <c r="GQ52" s="41"/>
      <c r="GR52" s="41"/>
      <c r="GS52" s="41"/>
      <c r="GT52" s="41"/>
      <c r="GU52" s="41"/>
      <c r="GV52" s="41"/>
      <c r="GW52" s="41"/>
      <c r="GX52" s="41"/>
      <c r="GY52" s="41"/>
    </row>
    <row r="53" ht="22.5" customHeight="1">
      <c r="A53" s="65">
        <v>45922.96603388889</v>
      </c>
      <c r="B53" s="34" t="s">
        <v>1809</v>
      </c>
      <c r="C53" s="34" t="s">
        <v>1810</v>
      </c>
      <c r="D53" s="34" t="s">
        <v>225</v>
      </c>
      <c r="E53" s="35" t="s">
        <v>1811</v>
      </c>
      <c r="G53" s="34" t="s">
        <v>1812</v>
      </c>
      <c r="H53" s="34">
        <v>7.7281334E7</v>
      </c>
      <c r="I53" s="34" t="s">
        <v>1813</v>
      </c>
      <c r="J53" s="34" t="s">
        <v>1814</v>
      </c>
      <c r="K53" s="34">
        <v>9236363.0</v>
      </c>
      <c r="L53" s="16" t="s">
        <v>404</v>
      </c>
      <c r="M53" s="34" t="s">
        <v>1812</v>
      </c>
      <c r="N53" s="34" t="s">
        <v>1815</v>
      </c>
      <c r="O53" s="29" t="s">
        <v>1816</v>
      </c>
      <c r="P53" s="39" t="s">
        <v>393</v>
      </c>
      <c r="Q53" s="39" t="s">
        <v>238</v>
      </c>
      <c r="R53" s="34">
        <v>7.7281334E7</v>
      </c>
      <c r="S53" s="34" t="s">
        <v>1814</v>
      </c>
      <c r="T53" s="34" t="s">
        <v>227</v>
      </c>
      <c r="U53" s="16" t="s">
        <v>320</v>
      </c>
      <c r="V53" s="34" t="s">
        <v>1817</v>
      </c>
      <c r="W53" s="34" t="s">
        <v>1818</v>
      </c>
      <c r="X53" s="29" t="s">
        <v>1819</v>
      </c>
      <c r="Y53" s="22" t="s">
        <v>393</v>
      </c>
      <c r="Z53" s="22" t="s">
        <v>238</v>
      </c>
      <c r="AA53" s="34">
        <v>7.1515636E7</v>
      </c>
      <c r="AB53" s="34" t="s">
        <v>1820</v>
      </c>
      <c r="AC53" s="34" t="s">
        <v>227</v>
      </c>
      <c r="AD53" s="16" t="s">
        <v>320</v>
      </c>
      <c r="AE53" s="34" t="s">
        <v>1821</v>
      </c>
      <c r="AF53" s="34" t="s">
        <v>1822</v>
      </c>
      <c r="AG53" s="21" t="s">
        <v>1823</v>
      </c>
      <c r="AH53" s="22" t="s">
        <v>393</v>
      </c>
      <c r="AI53" s="22" t="s">
        <v>238</v>
      </c>
      <c r="AJ53" s="34">
        <v>6.9955037E7</v>
      </c>
      <c r="AK53" s="34" t="s">
        <v>1824</v>
      </c>
      <c r="AL53" s="34" t="s">
        <v>227</v>
      </c>
      <c r="AM53" s="34" t="s">
        <v>284</v>
      </c>
      <c r="AN53" s="34" t="s">
        <v>1825</v>
      </c>
      <c r="AO53" s="34" t="s">
        <v>1826</v>
      </c>
      <c r="AP53" s="29" t="s">
        <v>1827</v>
      </c>
      <c r="AQ53" s="39" t="s">
        <v>393</v>
      </c>
      <c r="AR53" s="22" t="s">
        <v>238</v>
      </c>
      <c r="AS53" s="34">
        <v>7.6549384E7</v>
      </c>
      <c r="AT53" s="34" t="s">
        <v>1828</v>
      </c>
      <c r="AU53" s="34" t="s">
        <v>227</v>
      </c>
      <c r="AV53" s="91" t="s">
        <v>380</v>
      </c>
      <c r="AW53" s="34" t="s">
        <v>1829</v>
      </c>
      <c r="AX53" s="34" t="s">
        <v>1830</v>
      </c>
      <c r="AY53" s="29" t="s">
        <v>1831</v>
      </c>
      <c r="AZ53" s="39" t="s">
        <v>1832</v>
      </c>
      <c r="BA53" s="22" t="s">
        <v>238</v>
      </c>
      <c r="BB53" s="34">
        <v>7.724989E7</v>
      </c>
      <c r="BC53" s="34" t="s">
        <v>1833</v>
      </c>
      <c r="BD53" s="34" t="s">
        <v>227</v>
      </c>
      <c r="BG53" s="34" t="s">
        <v>1834</v>
      </c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  <c r="CZ53" s="41"/>
      <c r="DA53" s="41"/>
      <c r="DB53" s="41"/>
      <c r="DC53" s="41"/>
      <c r="DD53" s="41"/>
      <c r="DE53" s="41"/>
      <c r="DF53" s="41"/>
      <c r="DG53" s="41"/>
      <c r="DH53" s="41"/>
      <c r="DI53" s="41"/>
      <c r="DJ53" s="41"/>
      <c r="DK53" s="41"/>
      <c r="DL53" s="41"/>
      <c r="DM53" s="41"/>
      <c r="DN53" s="41"/>
      <c r="DO53" s="41"/>
      <c r="DP53" s="41"/>
      <c r="DQ53" s="41"/>
      <c r="DR53" s="41"/>
      <c r="DS53" s="41"/>
      <c r="DT53" s="41"/>
      <c r="DU53" s="41"/>
      <c r="DV53" s="41"/>
      <c r="DW53" s="41"/>
      <c r="DX53" s="41"/>
      <c r="DY53" s="41"/>
      <c r="DZ53" s="41"/>
      <c r="EA53" s="41"/>
      <c r="EB53" s="41"/>
      <c r="EC53" s="41"/>
      <c r="ED53" s="41"/>
      <c r="EE53" s="41"/>
      <c r="EF53" s="41"/>
      <c r="EG53" s="41"/>
      <c r="EH53" s="41"/>
      <c r="EI53" s="41"/>
      <c r="EJ53" s="41"/>
      <c r="EK53" s="41"/>
      <c r="EL53" s="41"/>
      <c r="EM53" s="41"/>
      <c r="EN53" s="41"/>
      <c r="EO53" s="41"/>
      <c r="EP53" s="41"/>
      <c r="EQ53" s="41"/>
      <c r="ER53" s="41"/>
      <c r="ES53" s="41"/>
      <c r="ET53" s="41"/>
      <c r="EU53" s="41"/>
      <c r="EV53" s="41"/>
      <c r="EW53" s="41"/>
      <c r="EX53" s="41"/>
      <c r="EY53" s="41"/>
      <c r="EZ53" s="41"/>
      <c r="FA53" s="41"/>
      <c r="FB53" s="41"/>
      <c r="FC53" s="41"/>
      <c r="FD53" s="41"/>
      <c r="FE53" s="41"/>
      <c r="FF53" s="41"/>
      <c r="FG53" s="41"/>
      <c r="FH53" s="41"/>
      <c r="FI53" s="41"/>
      <c r="FJ53" s="41"/>
      <c r="FK53" s="41"/>
      <c r="FL53" s="41"/>
      <c r="FM53" s="41"/>
      <c r="FN53" s="41"/>
      <c r="FO53" s="41"/>
      <c r="FP53" s="41"/>
      <c r="FQ53" s="41"/>
      <c r="FR53" s="41"/>
      <c r="FS53" s="41"/>
      <c r="FT53" s="41"/>
      <c r="FU53" s="41"/>
      <c r="FV53" s="41"/>
      <c r="FW53" s="41"/>
      <c r="FX53" s="41"/>
      <c r="FY53" s="41"/>
      <c r="FZ53" s="41"/>
      <c r="GA53" s="41"/>
      <c r="GB53" s="41"/>
      <c r="GC53" s="41"/>
      <c r="GD53" s="41"/>
      <c r="GE53" s="41"/>
      <c r="GF53" s="41"/>
      <c r="GG53" s="41"/>
      <c r="GH53" s="41"/>
      <c r="GI53" s="41"/>
      <c r="GJ53" s="41"/>
      <c r="GK53" s="41"/>
      <c r="GL53" s="41"/>
      <c r="GM53" s="41"/>
      <c r="GN53" s="41"/>
      <c r="GO53" s="41"/>
      <c r="GP53" s="41"/>
      <c r="GQ53" s="41"/>
      <c r="GR53" s="41"/>
      <c r="GS53" s="41"/>
      <c r="GT53" s="41"/>
      <c r="GU53" s="41"/>
      <c r="GV53" s="41"/>
      <c r="GW53" s="41"/>
      <c r="GX53" s="41"/>
      <c r="GY53" s="41"/>
    </row>
    <row r="54" ht="22.5" customHeight="1">
      <c r="A54" s="86">
        <v>45923.52605854167</v>
      </c>
      <c r="B54" s="34" t="s">
        <v>1835</v>
      </c>
      <c r="C54" s="34" t="s">
        <v>1836</v>
      </c>
      <c r="D54" s="34" t="s">
        <v>215</v>
      </c>
      <c r="E54" s="35" t="s">
        <v>1837</v>
      </c>
      <c r="F54" s="35" t="s">
        <v>1838</v>
      </c>
      <c r="G54" s="34" t="s">
        <v>1679</v>
      </c>
      <c r="H54" s="34" t="s">
        <v>1839</v>
      </c>
      <c r="I54" s="34" t="s">
        <v>1840</v>
      </c>
      <c r="J54" s="34" t="s">
        <v>1682</v>
      </c>
      <c r="K54" s="34">
        <v>8362523.0</v>
      </c>
      <c r="L54" s="16" t="s">
        <v>300</v>
      </c>
      <c r="M54" s="34" t="s">
        <v>1841</v>
      </c>
      <c r="N54" s="34" t="s">
        <v>1842</v>
      </c>
      <c r="O54" s="37" t="s">
        <v>1843</v>
      </c>
      <c r="P54" s="16" t="s">
        <v>1844</v>
      </c>
      <c r="Q54" s="16" t="s">
        <v>238</v>
      </c>
      <c r="R54" s="34" t="s">
        <v>1845</v>
      </c>
      <c r="S54" s="34" t="s">
        <v>1846</v>
      </c>
      <c r="T54" s="34" t="s">
        <v>227</v>
      </c>
      <c r="U54" s="34" t="s">
        <v>272</v>
      </c>
      <c r="V54" s="34" t="s">
        <v>1847</v>
      </c>
      <c r="W54" s="34" t="s">
        <v>1848</v>
      </c>
      <c r="X54" s="21" t="s">
        <v>1849</v>
      </c>
      <c r="Y54" s="22" t="s">
        <v>1850</v>
      </c>
      <c r="Z54" s="22" t="s">
        <v>238</v>
      </c>
      <c r="AA54" s="34">
        <v>7.6527196E7</v>
      </c>
      <c r="AB54" s="34" t="s">
        <v>1851</v>
      </c>
      <c r="AC54" s="34" t="s">
        <v>227</v>
      </c>
      <c r="AD54" s="34" t="s">
        <v>320</v>
      </c>
      <c r="AE54" s="34" t="s">
        <v>1679</v>
      </c>
      <c r="AF54" s="34" t="s">
        <v>1852</v>
      </c>
      <c r="AG54" s="21" t="s">
        <v>1853</v>
      </c>
      <c r="AH54" s="22" t="s">
        <v>1854</v>
      </c>
      <c r="AI54" s="22" t="s">
        <v>225</v>
      </c>
      <c r="AJ54" s="34" t="s">
        <v>1839</v>
      </c>
      <c r="AK54" s="34" t="s">
        <v>1682</v>
      </c>
      <c r="AL54" s="34" t="s">
        <v>227</v>
      </c>
      <c r="AM54" s="34" t="s">
        <v>404</v>
      </c>
      <c r="AN54" s="34" t="s">
        <v>1855</v>
      </c>
      <c r="AO54" s="34" t="s">
        <v>1856</v>
      </c>
      <c r="AP54" s="37" t="s">
        <v>829</v>
      </c>
      <c r="AQ54" s="16" t="s">
        <v>1857</v>
      </c>
      <c r="AR54" s="16" t="s">
        <v>238</v>
      </c>
      <c r="AS54" s="34" t="s">
        <v>1858</v>
      </c>
      <c r="AT54" s="34" t="s">
        <v>1859</v>
      </c>
      <c r="AU54" s="34" t="s">
        <v>227</v>
      </c>
      <c r="AV54" s="34" t="s">
        <v>300</v>
      </c>
      <c r="AW54" s="34" t="s">
        <v>1860</v>
      </c>
      <c r="AX54" s="34" t="s">
        <v>1861</v>
      </c>
      <c r="AY54" s="29" t="s">
        <v>1862</v>
      </c>
      <c r="AZ54" s="39" t="s">
        <v>1863</v>
      </c>
      <c r="BA54" s="39" t="s">
        <v>238</v>
      </c>
      <c r="BB54" s="34" t="s">
        <v>1864</v>
      </c>
      <c r="BC54" s="34" t="s">
        <v>1865</v>
      </c>
      <c r="BD54" s="34" t="s">
        <v>227</v>
      </c>
      <c r="BE54" s="34" t="s">
        <v>1866</v>
      </c>
      <c r="BF54" s="35" t="s">
        <v>1670</v>
      </c>
      <c r="BG54" s="34" t="s">
        <v>1709</v>
      </c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1"/>
      <c r="DK54" s="41"/>
      <c r="DL54" s="41"/>
      <c r="DM54" s="41"/>
      <c r="DN54" s="41"/>
      <c r="DO54" s="41"/>
      <c r="DP54" s="41"/>
      <c r="DQ54" s="41"/>
      <c r="DR54" s="41"/>
      <c r="DS54" s="41"/>
      <c r="DT54" s="41"/>
      <c r="DU54" s="41"/>
      <c r="DV54" s="41"/>
      <c r="DW54" s="41"/>
      <c r="DX54" s="41"/>
      <c r="DY54" s="41"/>
      <c r="DZ54" s="41"/>
      <c r="EA54" s="41"/>
      <c r="EB54" s="41"/>
      <c r="EC54" s="41"/>
      <c r="ED54" s="41"/>
      <c r="EE54" s="41"/>
      <c r="EF54" s="41"/>
      <c r="EG54" s="41"/>
      <c r="EH54" s="41"/>
      <c r="EI54" s="41"/>
      <c r="EJ54" s="41"/>
      <c r="EK54" s="41"/>
      <c r="EL54" s="41"/>
      <c r="EM54" s="41"/>
      <c r="EN54" s="41"/>
      <c r="EO54" s="41"/>
      <c r="EP54" s="41"/>
      <c r="EQ54" s="41"/>
      <c r="ER54" s="41"/>
      <c r="ES54" s="41"/>
      <c r="ET54" s="41"/>
      <c r="EU54" s="41"/>
      <c r="EV54" s="41"/>
      <c r="EW54" s="41"/>
      <c r="EX54" s="41"/>
      <c r="EY54" s="41"/>
      <c r="EZ54" s="41"/>
      <c r="FA54" s="41"/>
      <c r="FB54" s="41"/>
      <c r="FC54" s="41"/>
      <c r="FD54" s="41"/>
      <c r="FE54" s="41"/>
      <c r="FF54" s="41"/>
      <c r="FG54" s="41"/>
      <c r="FH54" s="41"/>
      <c r="FI54" s="41"/>
      <c r="FJ54" s="41"/>
      <c r="FK54" s="41"/>
      <c r="FL54" s="41"/>
      <c r="FM54" s="41"/>
      <c r="FN54" s="41"/>
      <c r="FO54" s="41"/>
      <c r="FP54" s="41"/>
      <c r="FQ54" s="41"/>
      <c r="FR54" s="41"/>
      <c r="FS54" s="41"/>
      <c r="FT54" s="41"/>
      <c r="FU54" s="41"/>
      <c r="FV54" s="41"/>
      <c r="FW54" s="41"/>
      <c r="FX54" s="41"/>
      <c r="FY54" s="41"/>
      <c r="FZ54" s="41"/>
      <c r="GA54" s="41"/>
      <c r="GB54" s="41"/>
      <c r="GC54" s="41"/>
      <c r="GD54" s="41"/>
      <c r="GE54" s="41"/>
      <c r="GF54" s="41"/>
      <c r="GG54" s="41"/>
      <c r="GH54" s="41"/>
      <c r="GI54" s="41"/>
      <c r="GJ54" s="41"/>
      <c r="GK54" s="41"/>
      <c r="GL54" s="41"/>
      <c r="GM54" s="41"/>
      <c r="GN54" s="41"/>
      <c r="GO54" s="41"/>
      <c r="GP54" s="41"/>
      <c r="GQ54" s="41"/>
      <c r="GR54" s="41"/>
      <c r="GS54" s="41"/>
      <c r="GT54" s="41"/>
      <c r="GU54" s="41"/>
      <c r="GV54" s="41"/>
      <c r="GW54" s="41"/>
      <c r="GX54" s="41"/>
      <c r="GY54" s="41"/>
    </row>
    <row r="55" ht="22.5" customHeight="1">
      <c r="A55" s="65">
        <v>45923.647134687504</v>
      </c>
      <c r="B55" s="34" t="s">
        <v>1867</v>
      </c>
      <c r="C55" s="34" t="s">
        <v>1369</v>
      </c>
      <c r="D55" s="34" t="s">
        <v>215</v>
      </c>
      <c r="E55" s="35" t="s">
        <v>1868</v>
      </c>
      <c r="F55" s="35" t="s">
        <v>1869</v>
      </c>
      <c r="G55" s="34" t="s">
        <v>1870</v>
      </c>
      <c r="H55" s="34">
        <v>7.4444075E7</v>
      </c>
      <c r="I55" s="34" t="s">
        <v>1871</v>
      </c>
      <c r="J55" s="34" t="s">
        <v>1872</v>
      </c>
      <c r="K55" s="34">
        <v>1.2428195E7</v>
      </c>
      <c r="L55" s="34" t="s">
        <v>220</v>
      </c>
      <c r="M55" s="34" t="s">
        <v>1873</v>
      </c>
      <c r="N55" s="34" t="s">
        <v>1874</v>
      </c>
      <c r="O55" s="35" t="s">
        <v>1875</v>
      </c>
      <c r="P55" s="34" t="s">
        <v>1876</v>
      </c>
      <c r="Q55" s="34" t="s">
        <v>225</v>
      </c>
      <c r="R55" s="34">
        <v>7.6128924E7</v>
      </c>
      <c r="S55" s="34" t="s">
        <v>1877</v>
      </c>
      <c r="T55" s="34" t="s">
        <v>227</v>
      </c>
      <c r="U55" s="34" t="s">
        <v>284</v>
      </c>
      <c r="V55" s="34" t="s">
        <v>1878</v>
      </c>
      <c r="W55" s="34" t="s">
        <v>1879</v>
      </c>
      <c r="X55" s="35" t="s">
        <v>1880</v>
      </c>
      <c r="Y55" s="34" t="s">
        <v>1881</v>
      </c>
      <c r="Z55" s="34" t="s">
        <v>225</v>
      </c>
      <c r="AA55" s="34">
        <v>7.0589787E7</v>
      </c>
      <c r="AB55" s="34" t="s">
        <v>1882</v>
      </c>
      <c r="AC55" s="34" t="s">
        <v>227</v>
      </c>
      <c r="AD55" s="34" t="s">
        <v>380</v>
      </c>
      <c r="AE55" s="34" t="s">
        <v>1883</v>
      </c>
      <c r="AF55" s="34" t="s">
        <v>1884</v>
      </c>
      <c r="AG55" s="35" t="s">
        <v>1885</v>
      </c>
      <c r="AH55" s="34" t="s">
        <v>1886</v>
      </c>
      <c r="AI55" s="34" t="s">
        <v>225</v>
      </c>
      <c r="AJ55" s="34">
        <v>7.5787248E7</v>
      </c>
      <c r="AK55" s="34" t="s">
        <v>1887</v>
      </c>
      <c r="AL55" s="34" t="s">
        <v>227</v>
      </c>
      <c r="AM55" s="34" t="s">
        <v>220</v>
      </c>
      <c r="AN55" s="34" t="s">
        <v>1870</v>
      </c>
      <c r="AO55" s="34" t="s">
        <v>1888</v>
      </c>
      <c r="AP55" s="35" t="s">
        <v>1889</v>
      </c>
      <c r="AQ55" s="34" t="s">
        <v>1890</v>
      </c>
      <c r="AR55" s="34" t="s">
        <v>238</v>
      </c>
      <c r="AS55" s="34">
        <v>7.4444075E7</v>
      </c>
      <c r="AT55" s="34" t="s">
        <v>1872</v>
      </c>
      <c r="AU55" s="34" t="s">
        <v>227</v>
      </c>
      <c r="AV55" s="34" t="s">
        <v>284</v>
      </c>
      <c r="AW55" s="34" t="s">
        <v>1891</v>
      </c>
      <c r="AX55" s="34" t="s">
        <v>1892</v>
      </c>
      <c r="AY55" s="35" t="s">
        <v>1893</v>
      </c>
      <c r="AZ55" s="34" t="s">
        <v>1894</v>
      </c>
      <c r="BA55" s="34" t="s">
        <v>225</v>
      </c>
      <c r="BB55" s="34">
        <v>7.0330335E7</v>
      </c>
      <c r="BC55" s="34" t="s">
        <v>1895</v>
      </c>
      <c r="BD55" s="34" t="s">
        <v>227</v>
      </c>
      <c r="BG55" s="34" t="s">
        <v>1871</v>
      </c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4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41"/>
      <c r="FZ55" s="41"/>
      <c r="GA55" s="41"/>
      <c r="GB55" s="41"/>
      <c r="GC55" s="41"/>
      <c r="GD55" s="41"/>
      <c r="GE55" s="41"/>
      <c r="GF55" s="41"/>
      <c r="GG55" s="41"/>
      <c r="GH55" s="41"/>
      <c r="GI55" s="41"/>
      <c r="GJ55" s="41"/>
      <c r="GK55" s="41"/>
      <c r="GL55" s="41"/>
      <c r="GM55" s="41"/>
      <c r="GN55" s="41"/>
      <c r="GO55" s="41"/>
      <c r="GP55" s="41"/>
      <c r="GQ55" s="41"/>
      <c r="GR55" s="41"/>
      <c r="GS55" s="41"/>
      <c r="GT55" s="41"/>
      <c r="GU55" s="41"/>
      <c r="GV55" s="41"/>
      <c r="GW55" s="41"/>
      <c r="GX55" s="41"/>
      <c r="GY55" s="41"/>
    </row>
    <row r="56" ht="22.5" customHeight="1">
      <c r="A56" s="65">
        <v>45923.64770199074</v>
      </c>
      <c r="B56" s="34" t="s">
        <v>1896</v>
      </c>
      <c r="C56" s="34" t="s">
        <v>1897</v>
      </c>
      <c r="D56" s="34" t="s">
        <v>215</v>
      </c>
      <c r="E56" s="35" t="s">
        <v>1898</v>
      </c>
      <c r="G56" s="34" t="s">
        <v>1899</v>
      </c>
      <c r="H56" s="34">
        <v>6.5304577E7</v>
      </c>
      <c r="I56" s="34" t="s">
        <v>1900</v>
      </c>
      <c r="J56" s="34" t="s">
        <v>1901</v>
      </c>
      <c r="K56" s="34">
        <v>9424521.0</v>
      </c>
      <c r="L56" s="34" t="s">
        <v>228</v>
      </c>
      <c r="M56" s="34" t="s">
        <v>1902</v>
      </c>
      <c r="N56" s="34" t="s">
        <v>1903</v>
      </c>
      <c r="O56" s="35" t="s">
        <v>1904</v>
      </c>
      <c r="P56" s="34" t="s">
        <v>1905</v>
      </c>
      <c r="Q56" s="34" t="s">
        <v>238</v>
      </c>
      <c r="R56" s="34">
        <v>7.4584678E7</v>
      </c>
      <c r="S56" s="34" t="s">
        <v>1906</v>
      </c>
      <c r="T56" s="34" t="s">
        <v>227</v>
      </c>
      <c r="U56" s="34" t="s">
        <v>449</v>
      </c>
      <c r="V56" s="34" t="s">
        <v>1907</v>
      </c>
      <c r="W56" s="34" t="s">
        <v>1908</v>
      </c>
      <c r="X56" s="35" t="s">
        <v>1909</v>
      </c>
      <c r="Y56" s="34" t="s">
        <v>1910</v>
      </c>
      <c r="Z56" s="34" t="s">
        <v>238</v>
      </c>
      <c r="AA56" s="34">
        <v>6.7255228E7</v>
      </c>
      <c r="AB56" s="34" t="s">
        <v>1911</v>
      </c>
      <c r="AC56" s="34" t="s">
        <v>227</v>
      </c>
      <c r="AD56" s="34" t="s">
        <v>272</v>
      </c>
      <c r="AE56" s="34" t="s">
        <v>1899</v>
      </c>
      <c r="AF56" s="34" t="s">
        <v>1912</v>
      </c>
      <c r="AG56" s="35" t="s">
        <v>1913</v>
      </c>
      <c r="AH56" s="34" t="s">
        <v>1910</v>
      </c>
      <c r="AI56" s="34" t="s">
        <v>238</v>
      </c>
      <c r="AJ56" s="34">
        <v>6.5304577E7</v>
      </c>
      <c r="AK56" s="34" t="s">
        <v>1901</v>
      </c>
      <c r="AL56" s="34" t="s">
        <v>227</v>
      </c>
      <c r="AM56" s="34" t="s">
        <v>278</v>
      </c>
      <c r="AN56" s="34" t="s">
        <v>1914</v>
      </c>
      <c r="AO56" s="34" t="s">
        <v>1915</v>
      </c>
      <c r="AP56" s="35" t="s">
        <v>1916</v>
      </c>
      <c r="AQ56" s="34" t="s">
        <v>1917</v>
      </c>
      <c r="AR56" s="34" t="s">
        <v>238</v>
      </c>
      <c r="AS56" s="34">
        <v>7.0433278E7</v>
      </c>
      <c r="AT56" s="34" t="s">
        <v>1918</v>
      </c>
      <c r="AU56" s="34" t="s">
        <v>227</v>
      </c>
      <c r="AV56" s="34" t="s">
        <v>438</v>
      </c>
      <c r="AW56" s="34" t="s">
        <v>1919</v>
      </c>
      <c r="AX56" s="34" t="s">
        <v>1920</v>
      </c>
      <c r="AY56" s="35" t="s">
        <v>1921</v>
      </c>
      <c r="AZ56" s="34" t="s">
        <v>1922</v>
      </c>
      <c r="BA56" s="34" t="s">
        <v>238</v>
      </c>
      <c r="BB56" s="34">
        <v>7.5705242E7</v>
      </c>
      <c r="BC56" s="34" t="s">
        <v>1923</v>
      </c>
      <c r="BD56" s="34" t="s">
        <v>227</v>
      </c>
      <c r="BE56" s="34" t="s">
        <v>1924</v>
      </c>
      <c r="BF56" s="35" t="s">
        <v>1925</v>
      </c>
      <c r="BG56" s="34" t="s">
        <v>1926</v>
      </c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  <c r="DK56" s="41"/>
      <c r="DL56" s="41"/>
      <c r="DM56" s="41"/>
      <c r="DN56" s="41"/>
      <c r="DO56" s="41"/>
      <c r="DP56" s="41"/>
      <c r="DQ56" s="41"/>
      <c r="DR56" s="41"/>
      <c r="DS56" s="41"/>
      <c r="DT56" s="41"/>
      <c r="DU56" s="41"/>
      <c r="DV56" s="41"/>
      <c r="DW56" s="41"/>
      <c r="DX56" s="41"/>
      <c r="DY56" s="41"/>
      <c r="DZ56" s="41"/>
      <c r="EA56" s="41"/>
      <c r="EB56" s="41"/>
      <c r="EC56" s="41"/>
      <c r="ED56" s="41"/>
      <c r="EE56" s="41"/>
      <c r="EF56" s="41"/>
      <c r="EG56" s="41"/>
      <c r="EH56" s="41"/>
      <c r="EI56" s="41"/>
      <c r="EJ56" s="41"/>
      <c r="EK56" s="41"/>
      <c r="EL56" s="41"/>
      <c r="EM56" s="41"/>
      <c r="EN56" s="41"/>
      <c r="EO56" s="41"/>
      <c r="EP56" s="41"/>
      <c r="EQ56" s="41"/>
      <c r="ER56" s="41"/>
      <c r="ES56" s="41"/>
      <c r="ET56" s="41"/>
      <c r="EU56" s="41"/>
      <c r="EV56" s="41"/>
      <c r="EW56" s="41"/>
      <c r="EX56" s="41"/>
      <c r="EY56" s="41"/>
      <c r="EZ56" s="41"/>
      <c r="FA56" s="41"/>
      <c r="FB56" s="41"/>
      <c r="FC56" s="41"/>
      <c r="FD56" s="41"/>
      <c r="FE56" s="41"/>
      <c r="FF56" s="41"/>
      <c r="FG56" s="41"/>
      <c r="FH56" s="41"/>
      <c r="FI56" s="41"/>
      <c r="FJ56" s="41"/>
      <c r="FK56" s="41"/>
      <c r="FL56" s="41"/>
      <c r="FM56" s="41"/>
      <c r="FN56" s="41"/>
      <c r="FO56" s="41"/>
      <c r="FP56" s="41"/>
      <c r="FQ56" s="41"/>
      <c r="FR56" s="41"/>
      <c r="FS56" s="41"/>
      <c r="FT56" s="41"/>
      <c r="FU56" s="41"/>
      <c r="FV56" s="41"/>
      <c r="FW56" s="41"/>
      <c r="FX56" s="41"/>
      <c r="FY56" s="41"/>
      <c r="FZ56" s="41"/>
      <c r="GA56" s="41"/>
      <c r="GB56" s="41"/>
      <c r="GC56" s="41"/>
      <c r="GD56" s="41"/>
      <c r="GE56" s="41"/>
      <c r="GF56" s="41"/>
      <c r="GG56" s="41"/>
      <c r="GH56" s="41"/>
      <c r="GI56" s="41"/>
      <c r="GJ56" s="41"/>
      <c r="GK56" s="41"/>
      <c r="GL56" s="41"/>
      <c r="GM56" s="41"/>
      <c r="GN56" s="41"/>
      <c r="GO56" s="41"/>
      <c r="GP56" s="41"/>
      <c r="GQ56" s="41"/>
      <c r="GR56" s="41"/>
      <c r="GS56" s="41"/>
      <c r="GT56" s="41"/>
      <c r="GU56" s="41"/>
      <c r="GV56" s="41"/>
      <c r="GW56" s="41"/>
      <c r="GX56" s="41"/>
      <c r="GY56" s="41"/>
    </row>
    <row r="57" ht="22.5" customHeight="1">
      <c r="A57" s="86">
        <v>45923.842899027775</v>
      </c>
      <c r="B57" s="34" t="s">
        <v>1927</v>
      </c>
      <c r="C57" s="34" t="s">
        <v>1928</v>
      </c>
      <c r="D57" s="34" t="s">
        <v>225</v>
      </c>
      <c r="E57" s="35" t="s">
        <v>1929</v>
      </c>
      <c r="G57" s="34" t="s">
        <v>1930</v>
      </c>
      <c r="H57" s="34">
        <v>6.0673501E7</v>
      </c>
      <c r="I57" s="34" t="s">
        <v>1931</v>
      </c>
      <c r="J57" s="34" t="s">
        <v>1932</v>
      </c>
      <c r="K57" s="34">
        <v>1.111032E7</v>
      </c>
      <c r="L57" s="34" t="s">
        <v>404</v>
      </c>
      <c r="M57" s="34" t="s">
        <v>1933</v>
      </c>
      <c r="N57" s="93" t="s">
        <v>1934</v>
      </c>
      <c r="O57" s="35" t="s">
        <v>1935</v>
      </c>
      <c r="P57" s="34" t="s">
        <v>1936</v>
      </c>
      <c r="Q57" s="34" t="s">
        <v>238</v>
      </c>
      <c r="R57" s="34">
        <v>7.4274227E7</v>
      </c>
      <c r="S57" s="34" t="s">
        <v>1937</v>
      </c>
      <c r="T57" s="34" t="s">
        <v>227</v>
      </c>
      <c r="U57" s="34" t="s">
        <v>284</v>
      </c>
      <c r="V57" s="34" t="s">
        <v>1938</v>
      </c>
      <c r="W57" s="34" t="s">
        <v>1939</v>
      </c>
      <c r="X57" s="35" t="s">
        <v>1940</v>
      </c>
      <c r="Y57" s="34" t="s">
        <v>1941</v>
      </c>
      <c r="Z57" s="34" t="s">
        <v>238</v>
      </c>
      <c r="AA57" s="34">
        <v>6.7050699E7</v>
      </c>
      <c r="AB57" s="34" t="s">
        <v>1942</v>
      </c>
      <c r="AC57" s="34" t="s">
        <v>227</v>
      </c>
      <c r="AD57" s="34" t="s">
        <v>449</v>
      </c>
      <c r="AE57" s="34" t="s">
        <v>1943</v>
      </c>
      <c r="AF57" s="34" t="s">
        <v>1944</v>
      </c>
      <c r="AG57" s="35" t="s">
        <v>1945</v>
      </c>
      <c r="AH57" s="34" t="s">
        <v>1946</v>
      </c>
      <c r="AI57" s="34" t="s">
        <v>238</v>
      </c>
      <c r="AJ57" s="34">
        <v>7.3740097E7</v>
      </c>
      <c r="AK57" s="34" t="s">
        <v>1937</v>
      </c>
      <c r="AL57" s="34" t="s">
        <v>227</v>
      </c>
      <c r="AM57" s="34" t="s">
        <v>535</v>
      </c>
      <c r="AN57" s="34" t="s">
        <v>1947</v>
      </c>
      <c r="AO57" s="93" t="s">
        <v>1948</v>
      </c>
      <c r="AP57" s="35" t="s">
        <v>1949</v>
      </c>
      <c r="AQ57" s="34" t="s">
        <v>1950</v>
      </c>
      <c r="AR57" s="34" t="s">
        <v>238</v>
      </c>
      <c r="AS57" s="34">
        <v>6.9886156E7</v>
      </c>
      <c r="AT57" s="34" t="s">
        <v>1951</v>
      </c>
      <c r="AU57" s="34" t="s">
        <v>227</v>
      </c>
      <c r="AV57" s="34" t="s">
        <v>438</v>
      </c>
      <c r="AW57" s="34" t="s">
        <v>1930</v>
      </c>
      <c r="AX57" s="34" t="s">
        <v>1952</v>
      </c>
      <c r="AY57" s="35" t="s">
        <v>1953</v>
      </c>
      <c r="AZ57" s="34" t="s">
        <v>1954</v>
      </c>
      <c r="BA57" s="34" t="s">
        <v>238</v>
      </c>
      <c r="BB57" s="34">
        <v>6.0673501E7</v>
      </c>
      <c r="BC57" s="34" t="s">
        <v>1932</v>
      </c>
      <c r="BD57" s="34" t="s">
        <v>227</v>
      </c>
      <c r="BG57" s="34" t="s">
        <v>1931</v>
      </c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  <c r="DB57" s="41"/>
      <c r="DC57" s="41"/>
      <c r="DD57" s="41"/>
      <c r="DE57" s="41"/>
      <c r="DF57" s="41"/>
      <c r="DG57" s="41"/>
      <c r="DH57" s="41"/>
      <c r="DI57" s="41"/>
      <c r="DJ57" s="41"/>
      <c r="DK57" s="41"/>
      <c r="DL57" s="41"/>
      <c r="DM57" s="41"/>
      <c r="DN57" s="41"/>
      <c r="DO57" s="41"/>
      <c r="DP57" s="41"/>
      <c r="DQ57" s="41"/>
      <c r="DR57" s="41"/>
      <c r="DS57" s="41"/>
      <c r="DT57" s="41"/>
      <c r="DU57" s="41"/>
      <c r="DV57" s="41"/>
      <c r="DW57" s="41"/>
      <c r="DX57" s="41"/>
      <c r="DY57" s="41"/>
      <c r="DZ57" s="41"/>
      <c r="EA57" s="41"/>
      <c r="EB57" s="41"/>
      <c r="EC57" s="41"/>
      <c r="ED57" s="41"/>
      <c r="EE57" s="41"/>
      <c r="EF57" s="41"/>
      <c r="EG57" s="41"/>
      <c r="EH57" s="41"/>
      <c r="EI57" s="41"/>
      <c r="EJ57" s="41"/>
      <c r="EK57" s="41"/>
      <c r="EL57" s="41"/>
      <c r="EM57" s="41"/>
      <c r="EN57" s="41"/>
      <c r="EO57" s="41"/>
      <c r="EP57" s="41"/>
      <c r="EQ57" s="41"/>
      <c r="ER57" s="41"/>
      <c r="ES57" s="41"/>
      <c r="ET57" s="41"/>
      <c r="EU57" s="41"/>
      <c r="EV57" s="41"/>
      <c r="EW57" s="41"/>
      <c r="EX57" s="41"/>
      <c r="EY57" s="41"/>
      <c r="EZ57" s="41"/>
      <c r="FA57" s="41"/>
      <c r="FB57" s="41"/>
      <c r="FC57" s="41"/>
      <c r="FD57" s="41"/>
      <c r="FE57" s="41"/>
      <c r="FF57" s="41"/>
      <c r="FG57" s="41"/>
      <c r="FH57" s="41"/>
      <c r="FI57" s="41"/>
      <c r="FJ57" s="41"/>
      <c r="FK57" s="41"/>
      <c r="FL57" s="41"/>
      <c r="FM57" s="41"/>
      <c r="FN57" s="41"/>
      <c r="FO57" s="41"/>
      <c r="FP57" s="41"/>
      <c r="FQ57" s="41"/>
      <c r="FR57" s="41"/>
      <c r="FS57" s="41"/>
      <c r="FT57" s="41"/>
      <c r="FU57" s="41"/>
      <c r="FV57" s="41"/>
      <c r="FW57" s="41"/>
      <c r="FX57" s="41"/>
      <c r="FY57" s="41"/>
      <c r="FZ57" s="41"/>
      <c r="GA57" s="41"/>
      <c r="GB57" s="41"/>
      <c r="GC57" s="41"/>
      <c r="GD57" s="41"/>
      <c r="GE57" s="41"/>
      <c r="GF57" s="41"/>
      <c r="GG57" s="41"/>
      <c r="GH57" s="41"/>
      <c r="GI57" s="41"/>
      <c r="GJ57" s="41"/>
      <c r="GK57" s="41"/>
      <c r="GL57" s="41"/>
      <c r="GM57" s="41"/>
      <c r="GN57" s="41"/>
      <c r="GO57" s="41"/>
      <c r="GP57" s="41"/>
      <c r="GQ57" s="41"/>
      <c r="GR57" s="41"/>
      <c r="GS57" s="41"/>
      <c r="GT57" s="41"/>
      <c r="GU57" s="41"/>
      <c r="GV57" s="41"/>
      <c r="GW57" s="41"/>
      <c r="GX57" s="41"/>
      <c r="GY57" s="41"/>
    </row>
    <row r="58" ht="22.5" customHeight="1">
      <c r="A58" s="94"/>
      <c r="B58" s="17" t="s">
        <v>1955</v>
      </c>
      <c r="C58" s="17" t="s">
        <v>1956</v>
      </c>
      <c r="D58" s="17"/>
      <c r="E58" s="17"/>
      <c r="F58" s="32"/>
      <c r="G58" s="17" t="s">
        <v>1957</v>
      </c>
      <c r="H58" s="17">
        <v>7.4032191E7</v>
      </c>
      <c r="I58" s="17"/>
      <c r="J58" s="17" t="s">
        <v>1958</v>
      </c>
      <c r="K58" s="17">
        <v>7081605.0</v>
      </c>
      <c r="L58" s="17"/>
      <c r="M58" s="17" t="s">
        <v>1959</v>
      </c>
      <c r="N58" s="17" t="s">
        <v>1960</v>
      </c>
      <c r="O58" s="19" t="s">
        <v>1961</v>
      </c>
      <c r="P58" s="17"/>
      <c r="Q58" s="17"/>
      <c r="R58" s="17">
        <v>6.5633835E7</v>
      </c>
      <c r="S58" s="17" t="s">
        <v>1962</v>
      </c>
      <c r="T58" s="17"/>
      <c r="U58" s="17"/>
      <c r="V58" s="95" t="s">
        <v>1963</v>
      </c>
      <c r="W58" s="95" t="s">
        <v>1964</v>
      </c>
      <c r="X58" s="95"/>
      <c r="Y58" s="95"/>
      <c r="Z58" s="95"/>
      <c r="AA58" s="95">
        <v>6.7046806E7</v>
      </c>
      <c r="AB58" s="95" t="s">
        <v>1965</v>
      </c>
      <c r="AC58" s="17"/>
      <c r="AD58" s="17"/>
      <c r="AE58" s="95" t="s">
        <v>1957</v>
      </c>
      <c r="AF58" s="95" t="s">
        <v>1966</v>
      </c>
      <c r="AG58" s="95"/>
      <c r="AH58" s="95"/>
      <c r="AI58" s="17"/>
      <c r="AJ58" s="95">
        <v>7.4032191E7</v>
      </c>
      <c r="AK58" s="95" t="s">
        <v>1967</v>
      </c>
      <c r="AL58" s="17"/>
      <c r="AM58" s="17"/>
      <c r="AN58" s="34" t="s">
        <v>1968</v>
      </c>
      <c r="AO58" s="34" t="s">
        <v>1969</v>
      </c>
      <c r="AT58" s="34" t="s">
        <v>1970</v>
      </c>
      <c r="AU58" s="17"/>
      <c r="AV58" s="17"/>
      <c r="AW58" s="34" t="s">
        <v>1971</v>
      </c>
      <c r="AX58" s="34" t="s">
        <v>1972</v>
      </c>
      <c r="BB58" s="34">
        <v>6.990852E7</v>
      </c>
      <c r="BC58" s="34" t="s">
        <v>1973</v>
      </c>
      <c r="BD58" s="17"/>
      <c r="BE58" s="17" t="s">
        <v>1974</v>
      </c>
      <c r="BF58" s="32"/>
      <c r="BG58" s="17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GZ58" s="32"/>
    </row>
    <row r="59">
      <c r="B59" s="96"/>
      <c r="G59" s="97"/>
      <c r="H59" s="98"/>
      <c r="I59" s="97"/>
      <c r="J59" s="97"/>
      <c r="K59" s="98"/>
      <c r="L59" s="97"/>
      <c r="M59" s="97"/>
      <c r="N59" s="97"/>
      <c r="O59" s="97"/>
      <c r="P59" s="97"/>
      <c r="R59" s="97"/>
      <c r="AC59" s="99"/>
      <c r="AL59" s="99"/>
      <c r="AU59" s="99"/>
      <c r="BD59" s="99"/>
    </row>
    <row r="60">
      <c r="L60" s="100"/>
      <c r="N60" s="101"/>
      <c r="T60" s="102"/>
      <c r="W60" s="101"/>
      <c r="AC60" s="102"/>
      <c r="AF60" s="101"/>
      <c r="AL60" s="102"/>
      <c r="AO60" s="101"/>
      <c r="AU60" s="102"/>
      <c r="AX60" s="101"/>
      <c r="BD60" s="102"/>
    </row>
    <row r="61">
      <c r="B61" s="103"/>
      <c r="G61" s="97"/>
      <c r="H61" s="98"/>
      <c r="I61" s="97"/>
      <c r="J61" s="97"/>
      <c r="K61" s="97"/>
      <c r="L61" s="97"/>
      <c r="M61" s="97"/>
      <c r="N61" s="97"/>
      <c r="O61" s="97"/>
      <c r="P61" s="97"/>
      <c r="R61" s="97"/>
      <c r="AC61" s="99"/>
      <c r="AL61" s="99"/>
      <c r="AU61" s="99"/>
      <c r="BD61" s="99"/>
    </row>
    <row r="62">
      <c r="B62" s="103"/>
      <c r="G62" s="97"/>
      <c r="H62" s="98"/>
      <c r="I62" s="97"/>
      <c r="J62" s="97"/>
      <c r="K62" s="98"/>
      <c r="L62" s="97"/>
      <c r="M62" s="97"/>
      <c r="N62" s="97"/>
      <c r="O62" s="97"/>
      <c r="P62" s="97"/>
      <c r="R62" s="97"/>
      <c r="AC62" s="99"/>
      <c r="AL62" s="99"/>
      <c r="AU62" s="99"/>
      <c r="BD62" s="99"/>
    </row>
    <row r="63">
      <c r="B63" s="103"/>
      <c r="G63" s="97"/>
      <c r="H63" s="98"/>
      <c r="I63" s="97"/>
      <c r="J63" s="97"/>
      <c r="K63" s="98"/>
      <c r="L63" s="97"/>
      <c r="M63" s="97"/>
      <c r="N63" s="97"/>
      <c r="O63" s="97"/>
      <c r="P63" s="97"/>
      <c r="Q63" s="104"/>
      <c r="AC63" s="99"/>
      <c r="AL63" s="99"/>
      <c r="AU63" s="99"/>
      <c r="BD63" s="99"/>
    </row>
    <row r="64">
      <c r="B64" s="105"/>
      <c r="C64" s="105"/>
      <c r="D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Q64" s="105"/>
      <c r="AC64" s="99"/>
      <c r="AL64" s="99"/>
      <c r="AU64" s="99"/>
      <c r="BD64" s="99"/>
    </row>
    <row r="65">
      <c r="B65" s="106"/>
      <c r="G65" s="107"/>
      <c r="H65" s="108"/>
      <c r="I65" s="107"/>
      <c r="J65" s="107"/>
      <c r="K65" s="107"/>
      <c r="L65" s="107"/>
      <c r="M65" s="107"/>
      <c r="N65" s="107"/>
      <c r="O65" s="107"/>
      <c r="P65" s="107"/>
      <c r="Q65" s="107"/>
      <c r="AC65" s="99"/>
      <c r="AL65" s="99"/>
      <c r="AU65" s="99"/>
      <c r="BD65" s="99"/>
    </row>
    <row r="66">
      <c r="B66" s="103"/>
      <c r="G66" s="97"/>
      <c r="H66" s="98"/>
      <c r="I66" s="97"/>
      <c r="J66" s="97"/>
      <c r="K66" s="98"/>
      <c r="L66" s="97"/>
      <c r="M66" s="97"/>
      <c r="N66" s="97"/>
      <c r="O66" s="97"/>
      <c r="P66" s="97"/>
      <c r="Q66" s="97"/>
      <c r="AC66" s="99"/>
      <c r="AL66" s="99"/>
      <c r="AU66" s="99"/>
      <c r="BD66" s="99"/>
    </row>
    <row r="67">
      <c r="B67" s="103"/>
      <c r="G67" s="97"/>
      <c r="H67" s="98"/>
      <c r="I67" s="97"/>
      <c r="J67" s="97"/>
      <c r="K67" s="98"/>
      <c r="L67" s="97"/>
      <c r="M67" s="97"/>
      <c r="N67" s="97"/>
      <c r="O67" s="97"/>
      <c r="P67" s="97"/>
      <c r="Q67" s="97"/>
      <c r="AC67" s="99"/>
      <c r="AL67" s="99"/>
      <c r="AU67" s="99"/>
      <c r="BD67" s="99"/>
    </row>
    <row r="68">
      <c r="B68" s="103"/>
      <c r="G68" s="97"/>
      <c r="H68" s="98"/>
      <c r="I68" s="97"/>
      <c r="J68" s="97"/>
      <c r="K68" s="97"/>
      <c r="L68" s="97"/>
      <c r="M68" s="97"/>
      <c r="N68" s="97"/>
      <c r="O68" s="97"/>
      <c r="P68" s="97"/>
      <c r="Q68" s="97"/>
      <c r="AC68" s="99"/>
      <c r="AL68" s="99"/>
      <c r="AU68" s="99"/>
      <c r="BD68" s="99"/>
    </row>
    <row r="69">
      <c r="B69" s="103"/>
      <c r="G69" s="97"/>
      <c r="H69" s="98"/>
      <c r="I69" s="97"/>
      <c r="J69" s="97"/>
      <c r="K69" s="97"/>
      <c r="L69" s="97"/>
      <c r="M69" s="97"/>
      <c r="N69" s="97"/>
      <c r="O69" s="97"/>
      <c r="P69" s="97"/>
      <c r="Q69" s="97"/>
      <c r="AC69" s="99"/>
      <c r="AL69" s="99"/>
      <c r="AU69" s="99"/>
      <c r="BD69" s="99"/>
    </row>
    <row r="70">
      <c r="B70" s="97"/>
      <c r="C70" s="97"/>
      <c r="D70" s="97"/>
      <c r="F70" s="97"/>
      <c r="G70" s="97"/>
      <c r="H70" s="97"/>
      <c r="I70" s="97"/>
      <c r="J70" s="97"/>
      <c r="K70" s="97"/>
      <c r="L70" s="97"/>
      <c r="M70" s="97"/>
      <c r="N70" s="97"/>
      <c r="Q70" s="97"/>
      <c r="AC70" s="99"/>
      <c r="AL70" s="99"/>
      <c r="AU70" s="99"/>
      <c r="BD70" s="99"/>
    </row>
    <row r="71">
      <c r="B71" s="96"/>
      <c r="G71" s="97"/>
      <c r="H71" s="98"/>
      <c r="I71" s="97"/>
      <c r="J71" s="97"/>
      <c r="K71" s="97"/>
      <c r="L71" s="97"/>
      <c r="M71" s="97"/>
      <c r="N71" s="97"/>
      <c r="O71" s="97"/>
      <c r="P71" s="97"/>
      <c r="Q71" s="97"/>
      <c r="AC71" s="99"/>
      <c r="AL71" s="99"/>
      <c r="AU71" s="99"/>
      <c r="BD71" s="99"/>
    </row>
    <row r="72">
      <c r="B72" s="103"/>
      <c r="G72" s="97"/>
      <c r="H72" s="98"/>
      <c r="I72" s="97"/>
      <c r="J72" s="109"/>
      <c r="K72" s="97"/>
      <c r="L72" s="97"/>
      <c r="M72" s="97"/>
      <c r="N72" s="97"/>
      <c r="O72" s="97"/>
      <c r="P72" s="97"/>
      <c r="Q72" s="104"/>
      <c r="AC72" s="99"/>
      <c r="AL72" s="99"/>
      <c r="AU72" s="99"/>
      <c r="BD72" s="99"/>
    </row>
    <row r="73">
      <c r="B73" s="103"/>
      <c r="G73" s="97"/>
      <c r="H73" s="98"/>
      <c r="I73" s="97"/>
      <c r="J73" s="97"/>
      <c r="K73" s="98"/>
      <c r="L73" s="97"/>
      <c r="M73" s="97"/>
      <c r="N73" s="97"/>
      <c r="O73" s="97"/>
      <c r="P73" s="97"/>
      <c r="Q73" s="97"/>
      <c r="AC73" s="99"/>
      <c r="AL73" s="99"/>
      <c r="AU73" s="99"/>
      <c r="BD73" s="99"/>
    </row>
    <row r="74">
      <c r="B74" s="103"/>
      <c r="G74" s="97"/>
      <c r="H74" s="98"/>
      <c r="I74" s="97"/>
      <c r="J74" s="97"/>
      <c r="K74" s="98"/>
      <c r="L74" s="97"/>
      <c r="M74" s="97"/>
      <c r="N74" s="97"/>
      <c r="O74" s="97"/>
      <c r="P74" s="97"/>
      <c r="Q74" s="97"/>
      <c r="AC74" s="99"/>
      <c r="AL74" s="99"/>
      <c r="AU74" s="99"/>
      <c r="BD74" s="99"/>
    </row>
    <row r="75">
      <c r="B75" s="103"/>
      <c r="G75" s="97"/>
      <c r="H75" s="98"/>
      <c r="I75" s="97"/>
      <c r="J75" s="97"/>
      <c r="K75" s="98"/>
      <c r="L75" s="97"/>
      <c r="M75" s="97"/>
      <c r="N75" s="97"/>
      <c r="O75" s="97"/>
      <c r="P75" s="97"/>
      <c r="Q75" s="97"/>
      <c r="AC75" s="99"/>
      <c r="AL75" s="99"/>
      <c r="AU75" s="99"/>
      <c r="BD75" s="99"/>
    </row>
    <row r="76">
      <c r="B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AC76" s="99"/>
      <c r="AL76" s="99"/>
      <c r="AU76" s="99"/>
      <c r="BD76" s="99"/>
    </row>
    <row r="77">
      <c r="B77" s="96"/>
      <c r="G77" s="97"/>
      <c r="H77" s="98"/>
      <c r="I77" s="97"/>
      <c r="J77" s="97"/>
      <c r="K77" s="98"/>
      <c r="L77" s="97"/>
      <c r="M77" s="97"/>
      <c r="N77" s="97"/>
      <c r="O77" s="97"/>
      <c r="P77" s="97"/>
      <c r="Q77" s="104"/>
      <c r="AC77" s="99"/>
      <c r="AL77" s="99"/>
      <c r="AU77" s="99"/>
      <c r="BD77" s="99"/>
    </row>
    <row r="78">
      <c r="B78" s="103"/>
      <c r="G78" s="97"/>
      <c r="H78" s="98"/>
      <c r="I78" s="97"/>
      <c r="J78" s="97"/>
      <c r="K78" s="97"/>
      <c r="L78" s="97"/>
      <c r="M78" s="97"/>
      <c r="N78" s="97"/>
      <c r="O78" s="97"/>
      <c r="P78" s="97"/>
      <c r="Q78" s="97"/>
      <c r="AC78" s="99"/>
      <c r="AL78" s="99"/>
      <c r="AU78" s="99"/>
      <c r="BD78" s="99"/>
    </row>
    <row r="79">
      <c r="B79" s="103"/>
      <c r="G79" s="97"/>
      <c r="H79" s="98"/>
      <c r="I79" s="97"/>
      <c r="J79" s="97"/>
      <c r="K79" s="98"/>
      <c r="L79" s="97"/>
      <c r="M79" s="97"/>
      <c r="N79" s="97"/>
      <c r="O79" s="97"/>
      <c r="P79" s="97"/>
      <c r="Q79" s="97"/>
      <c r="AC79" s="99"/>
      <c r="AL79" s="99"/>
      <c r="AU79" s="99"/>
      <c r="BD79" s="99"/>
    </row>
    <row r="80">
      <c r="B80" s="103"/>
      <c r="G80" s="97"/>
      <c r="H80" s="98"/>
      <c r="I80" s="97"/>
      <c r="J80" s="97"/>
      <c r="K80" s="98"/>
      <c r="L80" s="97"/>
      <c r="M80" s="97"/>
      <c r="N80" s="97"/>
      <c r="O80" s="97"/>
      <c r="P80" s="97"/>
      <c r="Q80" s="97"/>
      <c r="AC80" s="99"/>
      <c r="AL80" s="99"/>
      <c r="AU80" s="99"/>
      <c r="BD80" s="99"/>
    </row>
    <row r="81">
      <c r="B81" s="103"/>
      <c r="G81" s="97"/>
      <c r="H81" s="98"/>
      <c r="I81" s="97"/>
      <c r="J81" s="97"/>
      <c r="K81" s="97"/>
      <c r="L81" s="97"/>
      <c r="M81" s="97"/>
      <c r="N81" s="97"/>
      <c r="O81" s="97"/>
      <c r="P81" s="97"/>
      <c r="Q81" s="97"/>
      <c r="AC81" s="99"/>
      <c r="AL81" s="99"/>
      <c r="AU81" s="99"/>
      <c r="BD81" s="99"/>
    </row>
    <row r="82">
      <c r="L82" s="110"/>
      <c r="T82" s="99"/>
      <c r="AC82" s="99"/>
      <c r="AL82" s="99"/>
      <c r="AU82" s="99"/>
      <c r="BD82" s="99"/>
    </row>
    <row r="83">
      <c r="B83" s="96"/>
      <c r="G83" s="97"/>
      <c r="H83" s="98"/>
      <c r="I83" s="97"/>
      <c r="J83" s="97"/>
      <c r="K83" s="98"/>
      <c r="L83" s="97"/>
      <c r="M83" s="97"/>
      <c r="N83" s="97"/>
      <c r="O83" s="97"/>
      <c r="P83" s="97"/>
      <c r="Q83" s="97"/>
      <c r="T83" s="99"/>
      <c r="AC83" s="99"/>
      <c r="AL83" s="99"/>
      <c r="AU83" s="99"/>
      <c r="BD83" s="99"/>
    </row>
    <row r="84">
      <c r="B84" s="96"/>
      <c r="G84" s="97"/>
      <c r="H84" s="98"/>
      <c r="I84" s="97"/>
      <c r="J84" s="97"/>
      <c r="K84" s="98"/>
      <c r="L84" s="97"/>
      <c r="M84" s="97"/>
      <c r="N84" s="97"/>
      <c r="O84" s="97"/>
      <c r="P84" s="97"/>
      <c r="Q84" s="97"/>
      <c r="T84" s="99"/>
      <c r="AC84" s="99"/>
      <c r="AL84" s="99"/>
      <c r="AU84" s="99"/>
      <c r="BD84" s="99"/>
    </row>
    <row r="85">
      <c r="B85" s="103"/>
      <c r="G85" s="97"/>
      <c r="H85" s="98"/>
      <c r="I85" s="97"/>
      <c r="J85" s="97"/>
      <c r="K85" s="97"/>
      <c r="L85" s="97"/>
      <c r="M85" s="97"/>
      <c r="N85" s="97"/>
      <c r="O85" s="97"/>
      <c r="P85" s="97"/>
      <c r="Q85" s="97"/>
      <c r="T85" s="99"/>
      <c r="AC85" s="99"/>
      <c r="AL85" s="99"/>
      <c r="AU85" s="99"/>
      <c r="BD85" s="99"/>
    </row>
    <row r="86">
      <c r="B86" s="103"/>
      <c r="G86" s="97"/>
      <c r="H86" s="98"/>
      <c r="I86" s="97"/>
      <c r="J86" s="97"/>
      <c r="K86" s="97"/>
      <c r="L86" s="97"/>
      <c r="M86" s="97"/>
      <c r="N86" s="97"/>
      <c r="O86" s="97"/>
      <c r="P86" s="97"/>
      <c r="Q86" s="97"/>
      <c r="T86" s="99"/>
      <c r="AC86" s="99"/>
      <c r="AL86" s="99"/>
      <c r="AU86" s="99"/>
      <c r="BD86" s="99"/>
    </row>
    <row r="87">
      <c r="B87" s="103"/>
      <c r="G87" s="97"/>
      <c r="H87" s="98"/>
      <c r="I87" s="97"/>
      <c r="J87" s="97"/>
      <c r="K87" s="98"/>
      <c r="L87" s="97"/>
      <c r="M87" s="97"/>
      <c r="N87" s="97"/>
      <c r="O87" s="97"/>
      <c r="P87" s="97"/>
      <c r="Q87" s="97"/>
      <c r="T87" s="99"/>
      <c r="AC87" s="99"/>
      <c r="AL87" s="99"/>
      <c r="AU87" s="99"/>
      <c r="BD87" s="99"/>
    </row>
    <row r="88">
      <c r="B88" s="103"/>
      <c r="G88" s="97"/>
      <c r="H88" s="98"/>
      <c r="I88" s="97"/>
      <c r="J88" s="97"/>
      <c r="K88" s="98"/>
      <c r="L88" s="97"/>
      <c r="M88" s="97"/>
      <c r="N88" s="97"/>
      <c r="O88" s="97"/>
      <c r="P88" s="97"/>
      <c r="Q88" s="97"/>
      <c r="T88" s="99"/>
      <c r="AC88" s="99"/>
      <c r="AL88" s="99"/>
      <c r="AU88" s="99"/>
      <c r="BD88" s="99"/>
    </row>
    <row r="89">
      <c r="L89" s="110"/>
      <c r="T89" s="99"/>
      <c r="AC89" s="99"/>
      <c r="AL89" s="99"/>
      <c r="AU89" s="99"/>
      <c r="BD89" s="99"/>
    </row>
    <row r="90">
      <c r="L90" s="110"/>
      <c r="T90" s="99"/>
      <c r="AC90" s="99"/>
      <c r="AL90" s="99"/>
      <c r="AU90" s="99"/>
      <c r="BD90" s="99"/>
    </row>
    <row r="91">
      <c r="L91" s="110"/>
      <c r="T91" s="99"/>
      <c r="AC91" s="99"/>
      <c r="AL91" s="99"/>
      <c r="AU91" s="99"/>
      <c r="BD91" s="99"/>
    </row>
    <row r="92">
      <c r="L92" s="110"/>
      <c r="T92" s="99"/>
      <c r="AC92" s="99"/>
      <c r="AL92" s="99"/>
      <c r="AU92" s="99"/>
      <c r="BD92" s="99"/>
    </row>
    <row r="93">
      <c r="L93" s="110"/>
      <c r="T93" s="99"/>
      <c r="AC93" s="99"/>
      <c r="AL93" s="99"/>
      <c r="AU93" s="99"/>
      <c r="BD93" s="99"/>
    </row>
    <row r="94">
      <c r="L94" s="110"/>
      <c r="T94" s="99"/>
      <c r="AC94" s="99"/>
      <c r="AL94" s="99"/>
      <c r="AU94" s="99"/>
      <c r="BD94" s="99"/>
    </row>
    <row r="95">
      <c r="L95" s="110"/>
      <c r="T95" s="99"/>
      <c r="AC95" s="99"/>
      <c r="AL95" s="99"/>
      <c r="AU95" s="99"/>
      <c r="BD95" s="99"/>
    </row>
    <row r="96">
      <c r="L96" s="110"/>
      <c r="T96" s="99"/>
      <c r="AC96" s="99"/>
      <c r="AL96" s="99"/>
      <c r="AU96" s="99"/>
      <c r="BD96" s="99"/>
    </row>
    <row r="97">
      <c r="L97" s="110"/>
      <c r="T97" s="99"/>
      <c r="AC97" s="99"/>
      <c r="AL97" s="99"/>
      <c r="AU97" s="99"/>
      <c r="BD97" s="99"/>
    </row>
    <row r="98">
      <c r="L98" s="110"/>
      <c r="T98" s="99"/>
      <c r="AC98" s="99"/>
      <c r="AL98" s="99"/>
      <c r="AU98" s="99"/>
      <c r="BD98" s="99"/>
    </row>
    <row r="99">
      <c r="L99" s="110"/>
      <c r="T99" s="99"/>
      <c r="AC99" s="99"/>
      <c r="AL99" s="99"/>
      <c r="AU99" s="99"/>
      <c r="BD99" s="99"/>
    </row>
    <row r="100">
      <c r="L100" s="110"/>
      <c r="T100" s="99"/>
      <c r="AC100" s="99"/>
      <c r="AL100" s="99"/>
      <c r="AU100" s="99"/>
      <c r="BD100" s="99"/>
    </row>
    <row r="101">
      <c r="L101" s="110"/>
      <c r="T101" s="99"/>
      <c r="AC101" s="99"/>
      <c r="AL101" s="99"/>
      <c r="AU101" s="99"/>
      <c r="BD101" s="99"/>
    </row>
    <row r="102">
      <c r="L102" s="110"/>
      <c r="T102" s="99"/>
      <c r="AC102" s="99"/>
      <c r="AL102" s="99"/>
      <c r="AU102" s="99"/>
      <c r="BD102" s="99"/>
    </row>
    <row r="103">
      <c r="L103" s="110"/>
      <c r="T103" s="99"/>
      <c r="AC103" s="99"/>
      <c r="AL103" s="99"/>
      <c r="AU103" s="99"/>
      <c r="BD103" s="99"/>
    </row>
    <row r="104">
      <c r="L104" s="110"/>
      <c r="T104" s="99"/>
      <c r="AC104" s="99"/>
      <c r="AL104" s="99"/>
      <c r="AU104" s="99"/>
      <c r="BD104" s="99"/>
    </row>
    <row r="105">
      <c r="L105" s="110"/>
      <c r="T105" s="99"/>
      <c r="AC105" s="99"/>
      <c r="AL105" s="99"/>
      <c r="AU105" s="99"/>
      <c r="BD105" s="99"/>
    </row>
    <row r="106">
      <c r="L106" s="110"/>
      <c r="T106" s="99"/>
      <c r="AC106" s="99"/>
      <c r="AL106" s="99"/>
      <c r="AU106" s="99"/>
      <c r="BD106" s="99"/>
    </row>
    <row r="107">
      <c r="L107" s="110"/>
      <c r="T107" s="99"/>
      <c r="AC107" s="99"/>
      <c r="AL107" s="99"/>
      <c r="AU107" s="99"/>
      <c r="BD107" s="99"/>
    </row>
    <row r="108">
      <c r="L108" s="110"/>
      <c r="T108" s="99"/>
      <c r="AC108" s="99"/>
      <c r="AL108" s="99"/>
      <c r="AU108" s="99"/>
      <c r="BD108" s="99"/>
    </row>
    <row r="109">
      <c r="L109" s="110"/>
      <c r="T109" s="99"/>
      <c r="AC109" s="99"/>
      <c r="AL109" s="99"/>
      <c r="AU109" s="99"/>
      <c r="BD109" s="99"/>
    </row>
    <row r="110">
      <c r="L110" s="110"/>
      <c r="T110" s="99"/>
      <c r="AC110" s="99"/>
      <c r="AL110" s="99"/>
      <c r="AU110" s="99"/>
      <c r="BD110" s="99"/>
    </row>
    <row r="111">
      <c r="L111" s="110"/>
      <c r="T111" s="99"/>
      <c r="AC111" s="99"/>
      <c r="AL111" s="99"/>
      <c r="AU111" s="99"/>
      <c r="BD111" s="99"/>
    </row>
    <row r="112">
      <c r="L112" s="110"/>
      <c r="T112" s="99"/>
      <c r="AC112" s="99"/>
      <c r="AL112" s="99"/>
      <c r="AU112" s="99"/>
      <c r="BD112" s="99"/>
    </row>
    <row r="113">
      <c r="L113" s="110"/>
      <c r="T113" s="99"/>
      <c r="AC113" s="99"/>
      <c r="AL113" s="99"/>
      <c r="AU113" s="99"/>
      <c r="BD113" s="99"/>
    </row>
    <row r="114">
      <c r="L114" s="110"/>
      <c r="T114" s="99"/>
      <c r="AC114" s="99"/>
      <c r="AL114" s="99"/>
      <c r="AU114" s="99"/>
      <c r="BD114" s="99"/>
    </row>
    <row r="115">
      <c r="L115" s="110"/>
      <c r="T115" s="99"/>
      <c r="AC115" s="99"/>
      <c r="AL115" s="99"/>
      <c r="AU115" s="99"/>
      <c r="BD115" s="99"/>
    </row>
    <row r="116">
      <c r="L116" s="110"/>
      <c r="T116" s="99"/>
      <c r="AC116" s="99"/>
      <c r="AL116" s="99"/>
      <c r="AU116" s="99"/>
      <c r="BD116" s="99"/>
    </row>
    <row r="117">
      <c r="L117" s="110"/>
      <c r="T117" s="99"/>
      <c r="AC117" s="99"/>
      <c r="AL117" s="99"/>
      <c r="AU117" s="99"/>
      <c r="BD117" s="99"/>
    </row>
    <row r="118">
      <c r="L118" s="110"/>
      <c r="T118" s="99"/>
      <c r="AC118" s="99"/>
      <c r="AL118" s="99"/>
      <c r="AU118" s="99"/>
      <c r="BD118" s="99"/>
    </row>
    <row r="119">
      <c r="L119" s="110"/>
      <c r="T119" s="99"/>
      <c r="AC119" s="99"/>
      <c r="AL119" s="99"/>
      <c r="AU119" s="99"/>
      <c r="BD119" s="99"/>
    </row>
    <row r="120">
      <c r="L120" s="110"/>
      <c r="T120" s="99"/>
      <c r="AC120" s="99"/>
      <c r="AL120" s="99"/>
      <c r="AU120" s="99"/>
      <c r="BD120" s="99"/>
    </row>
    <row r="121">
      <c r="L121" s="110"/>
      <c r="T121" s="99"/>
      <c r="AC121" s="99"/>
      <c r="AL121" s="99"/>
      <c r="AU121" s="99"/>
      <c r="BD121" s="99"/>
    </row>
    <row r="122">
      <c r="L122" s="110"/>
      <c r="T122" s="99"/>
      <c r="AC122" s="99"/>
      <c r="AL122" s="99"/>
      <c r="AU122" s="99"/>
      <c r="BD122" s="99"/>
    </row>
    <row r="123">
      <c r="L123" s="110"/>
      <c r="T123" s="99"/>
      <c r="AC123" s="99"/>
      <c r="AL123" s="99"/>
      <c r="AU123" s="99"/>
      <c r="BD123" s="99"/>
    </row>
    <row r="124">
      <c r="L124" s="110"/>
      <c r="T124" s="99"/>
      <c r="AC124" s="99"/>
      <c r="AL124" s="99"/>
      <c r="AU124" s="99"/>
      <c r="BD124" s="99"/>
    </row>
    <row r="125">
      <c r="L125" s="110"/>
      <c r="T125" s="99"/>
      <c r="AC125" s="99"/>
      <c r="AL125" s="99"/>
      <c r="AU125" s="99"/>
      <c r="BD125" s="99"/>
    </row>
    <row r="126">
      <c r="L126" s="110"/>
      <c r="T126" s="99"/>
      <c r="AC126" s="99"/>
      <c r="AL126" s="99"/>
      <c r="AU126" s="99"/>
      <c r="BD126" s="99"/>
    </row>
    <row r="127">
      <c r="L127" s="110"/>
      <c r="T127" s="99"/>
      <c r="AC127" s="99"/>
      <c r="AL127" s="99"/>
      <c r="AU127" s="99"/>
      <c r="BD127" s="99"/>
    </row>
    <row r="128">
      <c r="L128" s="110"/>
      <c r="T128" s="99"/>
      <c r="AC128" s="99"/>
      <c r="AL128" s="99"/>
      <c r="AU128" s="99"/>
      <c r="BD128" s="99"/>
    </row>
    <row r="129">
      <c r="L129" s="110"/>
      <c r="T129" s="99"/>
      <c r="AC129" s="99"/>
      <c r="AL129" s="99"/>
      <c r="AU129" s="99"/>
      <c r="BD129" s="99"/>
    </row>
    <row r="130">
      <c r="L130" s="110"/>
      <c r="T130" s="99"/>
      <c r="AC130" s="99"/>
      <c r="AL130" s="99"/>
      <c r="AU130" s="99"/>
      <c r="BD130" s="99"/>
    </row>
    <row r="131">
      <c r="L131" s="110"/>
      <c r="T131" s="99"/>
      <c r="AC131" s="99"/>
      <c r="AL131" s="99"/>
      <c r="AU131" s="99"/>
      <c r="BD131" s="99"/>
    </row>
    <row r="132">
      <c r="L132" s="110"/>
      <c r="T132" s="99"/>
      <c r="AC132" s="99"/>
      <c r="AL132" s="99"/>
      <c r="AU132" s="99"/>
      <c r="BD132" s="99"/>
    </row>
    <row r="133">
      <c r="L133" s="110"/>
      <c r="T133" s="99"/>
      <c r="AC133" s="99"/>
      <c r="AL133" s="99"/>
      <c r="AU133" s="99"/>
      <c r="BD133" s="99"/>
    </row>
    <row r="134">
      <c r="L134" s="110"/>
      <c r="T134" s="99"/>
      <c r="AC134" s="99"/>
      <c r="AL134" s="99"/>
      <c r="AU134" s="99"/>
      <c r="BD134" s="99"/>
    </row>
    <row r="135">
      <c r="L135" s="110"/>
      <c r="T135" s="99"/>
      <c r="AC135" s="99"/>
      <c r="AL135" s="99"/>
      <c r="AU135" s="99"/>
      <c r="BD135" s="99"/>
    </row>
    <row r="136">
      <c r="L136" s="110"/>
      <c r="T136" s="99"/>
      <c r="AC136" s="99"/>
      <c r="AL136" s="99"/>
      <c r="AU136" s="99"/>
      <c r="BD136" s="99"/>
    </row>
    <row r="137">
      <c r="L137" s="110"/>
      <c r="T137" s="99"/>
      <c r="AC137" s="99"/>
      <c r="AL137" s="99"/>
      <c r="AU137" s="99"/>
      <c r="BD137" s="99"/>
    </row>
    <row r="138">
      <c r="L138" s="110"/>
      <c r="T138" s="99"/>
      <c r="AC138" s="99"/>
      <c r="AL138" s="99"/>
      <c r="AU138" s="99"/>
      <c r="BD138" s="99"/>
    </row>
    <row r="139">
      <c r="L139" s="110"/>
      <c r="T139" s="99"/>
      <c r="AC139" s="99"/>
      <c r="AL139" s="99"/>
      <c r="AU139" s="99"/>
      <c r="BD139" s="99"/>
    </row>
    <row r="140">
      <c r="L140" s="110"/>
      <c r="T140" s="99"/>
      <c r="AC140" s="99"/>
      <c r="AL140" s="99"/>
      <c r="AU140" s="99"/>
      <c r="BD140" s="99"/>
    </row>
    <row r="141">
      <c r="L141" s="110"/>
      <c r="T141" s="99"/>
      <c r="AC141" s="99"/>
      <c r="AL141" s="99"/>
      <c r="AU141" s="99"/>
      <c r="BD141" s="99"/>
    </row>
    <row r="142">
      <c r="L142" s="110"/>
      <c r="T142" s="99"/>
      <c r="AC142" s="99"/>
      <c r="AL142" s="99"/>
      <c r="AU142" s="99"/>
      <c r="BD142" s="99"/>
    </row>
    <row r="143">
      <c r="L143" s="110"/>
      <c r="T143" s="99"/>
      <c r="AC143" s="99"/>
      <c r="AL143" s="99"/>
      <c r="AU143" s="99"/>
      <c r="BD143" s="99"/>
    </row>
    <row r="144">
      <c r="L144" s="110"/>
      <c r="T144" s="99"/>
      <c r="AC144" s="99"/>
      <c r="AL144" s="99"/>
      <c r="AU144" s="99"/>
      <c r="BD144" s="99"/>
    </row>
    <row r="145">
      <c r="L145" s="110"/>
      <c r="T145" s="99"/>
      <c r="AC145" s="99"/>
      <c r="AL145" s="99"/>
      <c r="AU145" s="99"/>
      <c r="BD145" s="99"/>
    </row>
    <row r="146">
      <c r="L146" s="110"/>
      <c r="T146" s="99"/>
      <c r="AC146" s="99"/>
      <c r="AL146" s="99"/>
      <c r="AU146" s="99"/>
      <c r="BD146" s="99"/>
    </row>
    <row r="147">
      <c r="L147" s="110"/>
      <c r="T147" s="99"/>
      <c r="AC147" s="99"/>
      <c r="AL147" s="99"/>
      <c r="AU147" s="99"/>
      <c r="BD147" s="99"/>
    </row>
    <row r="148">
      <c r="L148" s="110"/>
      <c r="T148" s="99"/>
      <c r="AC148" s="99"/>
      <c r="AL148" s="99"/>
      <c r="AU148" s="99"/>
      <c r="BD148" s="99"/>
    </row>
    <row r="149">
      <c r="L149" s="110"/>
      <c r="T149" s="99"/>
      <c r="AC149" s="99"/>
      <c r="AL149" s="99"/>
      <c r="AU149" s="99"/>
      <c r="BD149" s="99"/>
    </row>
    <row r="150">
      <c r="L150" s="110"/>
      <c r="T150" s="99"/>
      <c r="AC150" s="99"/>
      <c r="AL150" s="99"/>
      <c r="AU150" s="99"/>
      <c r="BD150" s="99"/>
    </row>
    <row r="151">
      <c r="L151" s="110"/>
      <c r="T151" s="99"/>
      <c r="AC151" s="99"/>
      <c r="AL151" s="99"/>
      <c r="AU151" s="99"/>
      <c r="BD151" s="99"/>
    </row>
    <row r="152">
      <c r="L152" s="110"/>
      <c r="T152" s="99"/>
      <c r="AC152" s="99"/>
      <c r="AL152" s="99"/>
      <c r="AU152" s="99"/>
      <c r="BD152" s="99"/>
    </row>
    <row r="153">
      <c r="L153" s="110"/>
      <c r="T153" s="99"/>
      <c r="AC153" s="99"/>
      <c r="AL153" s="99"/>
      <c r="AU153" s="99"/>
      <c r="BD153" s="99"/>
    </row>
    <row r="154">
      <c r="L154" s="110"/>
      <c r="T154" s="99"/>
      <c r="AC154" s="99"/>
      <c r="AL154" s="99"/>
      <c r="AU154" s="99"/>
      <c r="BD154" s="99"/>
    </row>
    <row r="155">
      <c r="L155" s="110"/>
      <c r="T155" s="99"/>
      <c r="AC155" s="99"/>
      <c r="AL155" s="99"/>
      <c r="AU155" s="99"/>
      <c r="BD155" s="99"/>
    </row>
    <row r="156">
      <c r="L156" s="110"/>
      <c r="T156" s="99"/>
      <c r="AC156" s="99"/>
      <c r="AL156" s="99"/>
      <c r="AU156" s="99"/>
      <c r="BD156" s="99"/>
    </row>
    <row r="157">
      <c r="L157" s="110"/>
      <c r="T157" s="99"/>
      <c r="AC157" s="99"/>
      <c r="AL157" s="99"/>
      <c r="AU157" s="99"/>
      <c r="BD157" s="99"/>
    </row>
  </sheetData>
  <hyperlinks>
    <hyperlink r:id="rId4" ref="F3"/>
    <hyperlink r:id="rId5" ref="O3"/>
    <hyperlink r:id="rId6" ref="X3"/>
    <hyperlink r:id="rId7" ref="AG3"/>
    <hyperlink r:id="rId8" ref="AP3"/>
    <hyperlink r:id="rId9" ref="AY3"/>
    <hyperlink r:id="rId10" ref="BF3"/>
    <hyperlink r:id="rId11" ref="E4"/>
    <hyperlink r:id="rId12" ref="F4"/>
    <hyperlink r:id="rId13" ref="O4"/>
    <hyperlink r:id="rId14" ref="X4"/>
    <hyperlink r:id="rId15" ref="AG4"/>
    <hyperlink r:id="rId16" ref="AP4"/>
    <hyperlink r:id="rId17" ref="AY4"/>
    <hyperlink r:id="rId18" ref="E5"/>
    <hyperlink r:id="rId19" ref="F5"/>
    <hyperlink r:id="rId20" ref="O5"/>
    <hyperlink r:id="rId21" ref="X5"/>
    <hyperlink r:id="rId22" ref="AG5"/>
    <hyperlink r:id="rId23" ref="AP5"/>
    <hyperlink r:id="rId24" ref="AY5"/>
    <hyperlink r:id="rId25" ref="BF5"/>
    <hyperlink r:id="rId26" ref="E6"/>
    <hyperlink r:id="rId27" ref="F6"/>
    <hyperlink r:id="rId28" ref="O6"/>
    <hyperlink r:id="rId29" ref="X6"/>
    <hyperlink r:id="rId30" ref="AG6"/>
    <hyperlink r:id="rId31" ref="AP6"/>
    <hyperlink r:id="rId32" ref="AY6"/>
    <hyperlink r:id="rId33" ref="E7"/>
    <hyperlink r:id="rId34" ref="O7"/>
    <hyperlink r:id="rId35" ref="X7"/>
    <hyperlink r:id="rId36" ref="AG7"/>
    <hyperlink r:id="rId37" ref="AP7"/>
    <hyperlink r:id="rId38" ref="AY7"/>
    <hyperlink r:id="rId39" ref="BF7"/>
    <hyperlink r:id="rId40" ref="E8"/>
    <hyperlink r:id="rId41" ref="F8"/>
    <hyperlink r:id="rId42" ref="O8"/>
    <hyperlink r:id="rId43" ref="X8"/>
    <hyperlink r:id="rId44" ref="AG8"/>
    <hyperlink r:id="rId45" ref="AP8"/>
    <hyperlink r:id="rId46" ref="AY8"/>
    <hyperlink r:id="rId47" ref="BF8"/>
    <hyperlink r:id="rId48" ref="E9"/>
    <hyperlink r:id="rId49" ref="F9"/>
    <hyperlink r:id="rId50" ref="O9"/>
    <hyperlink r:id="rId51" ref="X9"/>
    <hyperlink r:id="rId52" ref="AG9"/>
    <hyperlink r:id="rId53" ref="AP9"/>
    <hyperlink r:id="rId54" ref="AY9"/>
    <hyperlink r:id="rId55" ref="E10"/>
    <hyperlink r:id="rId56" ref="O10"/>
    <hyperlink r:id="rId57" ref="X10"/>
    <hyperlink r:id="rId58" ref="AG10"/>
    <hyperlink r:id="rId59" ref="AP10"/>
    <hyperlink r:id="rId60" ref="AY10"/>
    <hyperlink r:id="rId61" ref="BF10"/>
    <hyperlink r:id="rId62" ref="E11"/>
    <hyperlink r:id="rId63" ref="F11"/>
    <hyperlink r:id="rId64" ref="O11"/>
    <hyperlink r:id="rId65" ref="X11"/>
    <hyperlink r:id="rId66" ref="AY11"/>
    <hyperlink r:id="rId67" ref="BF11"/>
    <hyperlink r:id="rId68" ref="E12"/>
    <hyperlink r:id="rId69" ref="F12"/>
    <hyperlink r:id="rId70" ref="O12"/>
    <hyperlink r:id="rId71" ref="X12"/>
    <hyperlink r:id="rId72" ref="AG12"/>
    <hyperlink r:id="rId73" ref="AP12"/>
    <hyperlink r:id="rId74" ref="AY12"/>
    <hyperlink r:id="rId75" ref="BF12"/>
    <hyperlink r:id="rId76" ref="E13"/>
    <hyperlink r:id="rId77" ref="F13"/>
    <hyperlink r:id="rId78" ref="O13"/>
    <hyperlink r:id="rId79" ref="X13"/>
    <hyperlink r:id="rId80" ref="AG13"/>
    <hyperlink r:id="rId81" ref="AP13"/>
    <hyperlink r:id="rId82" ref="E14"/>
    <hyperlink r:id="rId83" ref="F14"/>
    <hyperlink r:id="rId84" ref="O14"/>
    <hyperlink r:id="rId85" ref="X14"/>
    <hyperlink r:id="rId86" ref="AG14"/>
    <hyperlink r:id="rId87" ref="AP14"/>
    <hyperlink r:id="rId88" ref="AY14"/>
    <hyperlink r:id="rId89" ref="E15"/>
    <hyperlink r:id="rId90" ref="F15"/>
    <hyperlink r:id="rId91" ref="O15"/>
    <hyperlink r:id="rId92" ref="X15"/>
    <hyperlink r:id="rId93" ref="AG15"/>
    <hyperlink r:id="rId94" ref="AP15"/>
    <hyperlink r:id="rId95" ref="AY15"/>
    <hyperlink r:id="rId96" ref="BF15"/>
    <hyperlink r:id="rId97" ref="E16"/>
    <hyperlink r:id="rId98" ref="F16"/>
    <hyperlink r:id="rId99" ref="O16"/>
    <hyperlink r:id="rId100" ref="X16"/>
    <hyperlink r:id="rId101" ref="AG16"/>
    <hyperlink r:id="rId102" ref="AP16"/>
    <hyperlink r:id="rId103" ref="AY16"/>
    <hyperlink r:id="rId104" ref="E17"/>
    <hyperlink r:id="rId105" ref="E18"/>
    <hyperlink r:id="rId106" ref="F18"/>
    <hyperlink r:id="rId107" ref="O18"/>
    <hyperlink r:id="rId108" ref="X18"/>
    <hyperlink r:id="rId109" ref="AG18"/>
    <hyperlink r:id="rId110" ref="AP18"/>
    <hyperlink r:id="rId111" ref="AY18"/>
    <hyperlink r:id="rId112" ref="BF18"/>
    <hyperlink r:id="rId113" ref="E19"/>
    <hyperlink r:id="rId114" ref="O19"/>
    <hyperlink r:id="rId115" ref="X19"/>
    <hyperlink r:id="rId116" ref="AG19"/>
    <hyperlink r:id="rId117" ref="AP19"/>
    <hyperlink r:id="rId118" ref="AY19"/>
    <hyperlink r:id="rId119" ref="BF19"/>
    <hyperlink r:id="rId120" ref="E20"/>
    <hyperlink r:id="rId121" ref="O20"/>
    <hyperlink r:id="rId122" ref="X20"/>
    <hyperlink r:id="rId123" ref="AG20"/>
    <hyperlink r:id="rId124" ref="AP20"/>
    <hyperlink r:id="rId125" ref="AY20"/>
    <hyperlink r:id="rId126" ref="E21"/>
    <hyperlink r:id="rId127" ref="F21"/>
    <hyperlink r:id="rId128" ref="O21"/>
    <hyperlink r:id="rId129" ref="X21"/>
    <hyperlink r:id="rId130" ref="AG21"/>
    <hyperlink r:id="rId131" ref="AP21"/>
    <hyperlink r:id="rId132" ref="AY21"/>
    <hyperlink r:id="rId133" ref="BF21"/>
    <hyperlink r:id="rId134" ref="E22"/>
    <hyperlink r:id="rId135" ref="F22"/>
    <hyperlink r:id="rId136" ref="N22"/>
    <hyperlink r:id="rId137" ref="O22"/>
    <hyperlink r:id="rId138" ref="W22"/>
    <hyperlink r:id="rId139" ref="X22"/>
    <hyperlink r:id="rId140" ref="AF22"/>
    <hyperlink r:id="rId141" ref="AG22"/>
    <hyperlink r:id="rId142" ref="AO22"/>
    <hyperlink r:id="rId143" ref="AP22"/>
    <hyperlink r:id="rId144" ref="AX22"/>
    <hyperlink r:id="rId145" ref="AY22"/>
    <hyperlink r:id="rId146" ref="BF22"/>
    <hyperlink r:id="rId147" ref="E23"/>
    <hyperlink r:id="rId148" ref="F23"/>
    <hyperlink r:id="rId149" ref="O23"/>
    <hyperlink r:id="rId150" ref="X23"/>
    <hyperlink r:id="rId151" ref="AG23"/>
    <hyperlink r:id="rId152" ref="AP23"/>
    <hyperlink r:id="rId153" ref="AY23"/>
    <hyperlink r:id="rId154" ref="E24"/>
    <hyperlink r:id="rId155" ref="F24"/>
    <hyperlink r:id="rId156" ref="O24"/>
    <hyperlink r:id="rId157" ref="X24"/>
    <hyperlink r:id="rId158" ref="AG24"/>
    <hyperlink r:id="rId159" ref="AP24"/>
    <hyperlink r:id="rId160" ref="AY24"/>
    <hyperlink r:id="rId161" ref="E25"/>
    <hyperlink r:id="rId162" ref="F25"/>
    <hyperlink r:id="rId163" ref="O25"/>
    <hyperlink r:id="rId164" ref="X25"/>
    <hyperlink r:id="rId165" ref="AG25"/>
    <hyperlink r:id="rId166" ref="AP25"/>
    <hyperlink r:id="rId167" ref="AY25"/>
    <hyperlink r:id="rId168" ref="E26"/>
    <hyperlink r:id="rId169" ref="F26"/>
    <hyperlink r:id="rId170" ref="O26"/>
    <hyperlink r:id="rId171" ref="X26"/>
    <hyperlink r:id="rId172" ref="AG26"/>
    <hyperlink r:id="rId173" ref="AP26"/>
    <hyperlink r:id="rId174" ref="AY26"/>
    <hyperlink r:id="rId175" ref="E27"/>
    <hyperlink r:id="rId176" ref="F27"/>
    <hyperlink r:id="rId177" ref="O27"/>
    <hyperlink r:id="rId178" ref="X27"/>
    <hyperlink r:id="rId179" ref="AG27"/>
    <hyperlink r:id="rId180" ref="AP27"/>
    <hyperlink r:id="rId181" ref="AY27"/>
    <hyperlink r:id="rId182" ref="E28"/>
    <hyperlink r:id="rId183" ref="O28"/>
    <hyperlink r:id="rId184" ref="X28"/>
    <hyperlink r:id="rId185" ref="AG28"/>
    <hyperlink r:id="rId186" ref="AP28"/>
    <hyperlink r:id="rId187" ref="AY28"/>
    <hyperlink r:id="rId188" ref="E29"/>
    <hyperlink r:id="rId189" ref="F29"/>
    <hyperlink r:id="rId190" ref="O29"/>
    <hyperlink r:id="rId191" ref="X29"/>
    <hyperlink r:id="rId192" ref="AG29"/>
    <hyperlink r:id="rId193" ref="AP29"/>
    <hyperlink r:id="rId194" ref="AY29"/>
    <hyperlink r:id="rId195" ref="E30"/>
    <hyperlink r:id="rId196" ref="F30"/>
    <hyperlink r:id="rId197" ref="O30"/>
    <hyperlink r:id="rId198" ref="X30"/>
    <hyperlink r:id="rId199" ref="AG30"/>
    <hyperlink r:id="rId200" ref="AP30"/>
    <hyperlink r:id="rId201" ref="AY30"/>
    <hyperlink r:id="rId202" ref="BF30"/>
    <hyperlink r:id="rId203" ref="E31"/>
    <hyperlink r:id="rId204" ref="O31"/>
    <hyperlink r:id="rId205" ref="X31"/>
    <hyperlink r:id="rId206" ref="AG31"/>
    <hyperlink r:id="rId207" ref="AP31"/>
    <hyperlink r:id="rId208" ref="AY31"/>
    <hyperlink r:id="rId209" ref="E32"/>
    <hyperlink r:id="rId210" ref="F32"/>
    <hyperlink r:id="rId211" ref="J32"/>
    <hyperlink r:id="rId212" ref="O32"/>
    <hyperlink r:id="rId213" ref="S32"/>
    <hyperlink r:id="rId214" ref="X32"/>
    <hyperlink r:id="rId215" ref="AG32"/>
    <hyperlink r:id="rId216" ref="AP32"/>
    <hyperlink r:id="rId217" ref="AY32"/>
    <hyperlink r:id="rId218" ref="E33"/>
    <hyperlink r:id="rId219" ref="F33"/>
    <hyperlink r:id="rId220" ref="O33"/>
    <hyperlink r:id="rId221" ref="X33"/>
    <hyperlink r:id="rId222" ref="AG33"/>
    <hyperlink r:id="rId223" ref="AP33"/>
    <hyperlink r:id="rId224" ref="AY33"/>
    <hyperlink r:id="rId225" ref="BF33"/>
    <hyperlink r:id="rId226" ref="E34"/>
    <hyperlink r:id="rId227" ref="F34"/>
    <hyperlink r:id="rId228" ref="O34"/>
    <hyperlink r:id="rId229" ref="X34"/>
    <hyperlink r:id="rId230" ref="AG34"/>
    <hyperlink r:id="rId231" ref="AP34"/>
    <hyperlink r:id="rId232" ref="AY34"/>
    <hyperlink r:id="rId233" ref="E35"/>
    <hyperlink r:id="rId234" ref="F35"/>
    <hyperlink r:id="rId235" ref="O35"/>
    <hyperlink r:id="rId236" ref="X35"/>
    <hyperlink r:id="rId237" ref="AG35"/>
    <hyperlink r:id="rId238" ref="AP35"/>
    <hyperlink r:id="rId239" ref="AY35"/>
    <hyperlink r:id="rId240" ref="E36"/>
    <hyperlink r:id="rId241" ref="O36"/>
    <hyperlink r:id="rId242" ref="X36"/>
    <hyperlink r:id="rId243" ref="AG36"/>
    <hyperlink r:id="rId244" ref="AP36"/>
    <hyperlink r:id="rId245" ref="AY36"/>
    <hyperlink r:id="rId246" ref="BF36"/>
    <hyperlink r:id="rId247" ref="E37"/>
    <hyperlink r:id="rId248" ref="F37"/>
    <hyperlink r:id="rId249" ref="O37"/>
    <hyperlink r:id="rId250" ref="X37"/>
    <hyperlink r:id="rId251" ref="AG37"/>
    <hyperlink r:id="rId252" ref="AP37"/>
    <hyperlink r:id="rId253" ref="AY37"/>
    <hyperlink r:id="rId254" ref="E38"/>
    <hyperlink r:id="rId255" ref="F38"/>
    <hyperlink r:id="rId256" ref="O38"/>
    <hyperlink r:id="rId257" ref="X38"/>
    <hyperlink r:id="rId258" ref="AG38"/>
    <hyperlink r:id="rId259" ref="AP38"/>
    <hyperlink r:id="rId260" ref="AY38"/>
    <hyperlink r:id="rId261" ref="E39"/>
    <hyperlink r:id="rId262" ref="F39"/>
    <hyperlink r:id="rId263" ref="O39"/>
    <hyperlink r:id="rId264" ref="X39"/>
    <hyperlink r:id="rId265" ref="AG39"/>
    <hyperlink r:id="rId266" ref="AP39"/>
    <hyperlink r:id="rId267" ref="AY39"/>
    <hyperlink r:id="rId268" ref="E40"/>
    <hyperlink r:id="rId269" ref="F40"/>
    <hyperlink r:id="rId270" ref="O40"/>
    <hyperlink r:id="rId271" ref="X40"/>
    <hyperlink r:id="rId272" ref="AG40"/>
    <hyperlink r:id="rId273" ref="AP40"/>
    <hyperlink r:id="rId274" ref="AY40"/>
    <hyperlink r:id="rId275" ref="E41"/>
    <hyperlink r:id="rId276" ref="F41"/>
    <hyperlink r:id="rId277" ref="O41"/>
    <hyperlink r:id="rId278" ref="X41"/>
    <hyperlink r:id="rId279" ref="AG41"/>
    <hyperlink r:id="rId280" ref="AP41"/>
    <hyperlink r:id="rId281" ref="AY41"/>
    <hyperlink r:id="rId282" ref="E42"/>
    <hyperlink r:id="rId283" ref="F42"/>
    <hyperlink r:id="rId284" ref="O42"/>
    <hyperlink r:id="rId285" ref="X42"/>
    <hyperlink r:id="rId286" ref="AG42"/>
    <hyperlink r:id="rId287" ref="AP42"/>
    <hyperlink r:id="rId288" ref="AY42"/>
    <hyperlink r:id="rId289" ref="E43"/>
    <hyperlink r:id="rId290" ref="F43"/>
    <hyperlink r:id="rId291" ref="O43"/>
    <hyperlink r:id="rId292" ref="X43"/>
    <hyperlink r:id="rId293" ref="AG43"/>
    <hyperlink r:id="rId294" ref="AP43"/>
    <hyperlink r:id="rId295" ref="AY43"/>
    <hyperlink r:id="rId296" ref="BF43"/>
    <hyperlink r:id="rId297" ref="E44"/>
    <hyperlink r:id="rId298" ref="F44"/>
    <hyperlink r:id="rId299" ref="O44"/>
    <hyperlink r:id="rId300" ref="X44"/>
    <hyperlink r:id="rId301" ref="AG44"/>
    <hyperlink r:id="rId302" ref="AP44"/>
    <hyperlink r:id="rId303" ref="AY44"/>
    <hyperlink r:id="rId304" ref="BF44"/>
    <hyperlink r:id="rId305" ref="E45"/>
    <hyperlink r:id="rId306" ref="F45"/>
    <hyperlink r:id="rId307" ref="O45"/>
    <hyperlink r:id="rId308" ref="X45"/>
    <hyperlink r:id="rId309" ref="AG45"/>
    <hyperlink r:id="rId310" ref="AP45"/>
    <hyperlink r:id="rId311" ref="AY45"/>
    <hyperlink r:id="rId312" ref="BF45"/>
    <hyperlink r:id="rId313" ref="E46"/>
    <hyperlink r:id="rId314" ref="F46"/>
    <hyperlink r:id="rId315" ref="O46"/>
    <hyperlink r:id="rId316" ref="X46"/>
    <hyperlink r:id="rId317" ref="AG46"/>
    <hyperlink r:id="rId318" ref="AP46"/>
    <hyperlink r:id="rId319" ref="AY46"/>
    <hyperlink r:id="rId320" ref="BF46"/>
    <hyperlink r:id="rId321" ref="E47"/>
    <hyperlink r:id="rId322" ref="O47"/>
    <hyperlink r:id="rId323" ref="X47"/>
    <hyperlink r:id="rId324" ref="AG47"/>
    <hyperlink r:id="rId325" ref="AP47"/>
    <hyperlink r:id="rId326" ref="AY47"/>
    <hyperlink r:id="rId327" ref="BF47"/>
    <hyperlink r:id="rId328" ref="E48"/>
    <hyperlink r:id="rId329" ref="F48"/>
    <hyperlink r:id="rId330" ref="O48"/>
    <hyperlink r:id="rId331" ref="X48"/>
    <hyperlink r:id="rId332" ref="AG48"/>
    <hyperlink r:id="rId333" ref="AP48"/>
    <hyperlink r:id="rId334" ref="AY48"/>
    <hyperlink r:id="rId335" ref="BF48"/>
    <hyperlink r:id="rId336" ref="E49"/>
    <hyperlink r:id="rId337" ref="F49"/>
    <hyperlink r:id="rId338" ref="O49"/>
    <hyperlink r:id="rId339" ref="X49"/>
    <hyperlink r:id="rId340" ref="AG49"/>
    <hyperlink r:id="rId341" ref="AP49"/>
    <hyperlink r:id="rId342" ref="AY49"/>
    <hyperlink r:id="rId343" ref="BF49"/>
    <hyperlink r:id="rId344" ref="E50"/>
    <hyperlink r:id="rId345" ref="F50"/>
    <hyperlink r:id="rId346" ref="O50"/>
    <hyperlink r:id="rId347" ref="X50"/>
    <hyperlink r:id="rId348" ref="AG50"/>
    <hyperlink r:id="rId349" ref="AP50"/>
    <hyperlink r:id="rId350" ref="AY50"/>
    <hyperlink r:id="rId351" ref="E51"/>
    <hyperlink r:id="rId352" ref="F51"/>
    <hyperlink r:id="rId353" ref="O51"/>
    <hyperlink r:id="rId354" ref="X51"/>
    <hyperlink r:id="rId355" ref="AG51"/>
    <hyperlink r:id="rId356" ref="AP51"/>
    <hyperlink r:id="rId357" ref="AY51"/>
    <hyperlink r:id="rId358" ref="BF51"/>
    <hyperlink r:id="rId359" ref="E52"/>
    <hyperlink r:id="rId360" ref="F52"/>
    <hyperlink r:id="rId361" location="championsData-all-queues" ref="O52"/>
    <hyperlink r:id="rId362" ref="X52"/>
    <hyperlink r:id="rId363" ref="AG52"/>
    <hyperlink r:id="rId364" ref="AP52"/>
    <hyperlink r:id="rId365" ref="AY52"/>
    <hyperlink r:id="rId366" ref="E53"/>
    <hyperlink r:id="rId367" ref="O53"/>
    <hyperlink r:id="rId368" ref="X53"/>
    <hyperlink r:id="rId369" ref="AG53"/>
    <hyperlink r:id="rId370" ref="AP53"/>
    <hyperlink r:id="rId371" ref="AY53"/>
    <hyperlink r:id="rId372" ref="E54"/>
    <hyperlink r:id="rId373" ref="F54"/>
    <hyperlink r:id="rId374" ref="O54"/>
    <hyperlink r:id="rId375" ref="X54"/>
    <hyperlink r:id="rId376" ref="AG54"/>
    <hyperlink r:id="rId377" ref="AP54"/>
    <hyperlink r:id="rId378" ref="AY54"/>
    <hyperlink r:id="rId379" ref="BF54"/>
    <hyperlink r:id="rId380" ref="E55"/>
    <hyperlink r:id="rId381" ref="F55"/>
    <hyperlink r:id="rId382" ref="O55"/>
    <hyperlink r:id="rId383" ref="X55"/>
    <hyperlink r:id="rId384" ref="AG55"/>
    <hyperlink r:id="rId385" ref="AP55"/>
    <hyperlink r:id="rId386" ref="AY55"/>
    <hyperlink r:id="rId387" ref="E56"/>
    <hyperlink r:id="rId388" ref="O56"/>
    <hyperlink r:id="rId389" ref="X56"/>
    <hyperlink r:id="rId390" ref="AG56"/>
    <hyperlink r:id="rId391" ref="AP56"/>
    <hyperlink r:id="rId392" ref="AY56"/>
    <hyperlink r:id="rId393" ref="BF56"/>
    <hyperlink r:id="rId394" ref="E57"/>
    <hyperlink r:id="rId395" ref="O57"/>
    <hyperlink r:id="rId396" ref="X57"/>
    <hyperlink r:id="rId397" ref="AG57"/>
    <hyperlink r:id="rId398" ref="AP57"/>
    <hyperlink r:id="rId399" ref="AY57"/>
    <hyperlink r:id="rId400" ref="O58"/>
  </hyperlinks>
  <drawing r:id="rId401"/>
  <legacyDrawing r:id="rId402"/>
  <tableParts count="3">
    <tablePart r:id="rId406"/>
    <tablePart r:id="rId407"/>
    <tablePart r:id="rId40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38"/>
    <col customWidth="1" min="4" max="4" width="26.0"/>
    <col customWidth="1" min="9" max="9" width="15.63"/>
    <col customWidth="1" min="12" max="12" width="24.13"/>
    <col customWidth="1" min="13" max="13" width="42.13"/>
    <col customWidth="1" min="14" max="14" width="19.13"/>
    <col customWidth="1" min="15" max="15" width="28.5"/>
    <col customWidth="1" min="16" max="16" width="19.25"/>
  </cols>
  <sheetData>
    <row r="1">
      <c r="A1" s="111"/>
      <c r="B1" s="112" t="s">
        <v>1975</v>
      </c>
      <c r="K1" s="113"/>
      <c r="L1" s="113"/>
    </row>
    <row r="2">
      <c r="A2" s="113"/>
      <c r="B2" s="113"/>
      <c r="K2" s="113"/>
      <c r="L2" s="113"/>
    </row>
    <row r="3">
      <c r="A3" s="114">
        <v>1.0</v>
      </c>
      <c r="B3" s="115" t="s">
        <v>213</v>
      </c>
      <c r="C3" s="116" t="s">
        <v>214</v>
      </c>
      <c r="D3" s="117"/>
      <c r="E3" s="117"/>
      <c r="F3" s="117"/>
      <c r="G3" s="117"/>
      <c r="H3" s="117"/>
      <c r="I3" s="118"/>
      <c r="J3" s="117"/>
      <c r="K3" s="114">
        <v>2.0</v>
      </c>
      <c r="L3" s="115" t="s">
        <v>253</v>
      </c>
      <c r="M3" s="119" t="s">
        <v>254</v>
      </c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7"/>
      <c r="AQ3" s="117"/>
      <c r="AR3" s="117"/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13"/>
      <c r="BD3" s="113"/>
      <c r="BE3" s="113"/>
    </row>
    <row r="4">
      <c r="A4" s="113"/>
      <c r="B4" s="120" t="s">
        <v>1976</v>
      </c>
      <c r="C4" s="121" t="s">
        <v>217</v>
      </c>
      <c r="D4" s="122">
        <v>7.5805223E7</v>
      </c>
      <c r="E4" s="123" t="s">
        <v>219</v>
      </c>
      <c r="F4" s="122">
        <v>1.0559471E7</v>
      </c>
      <c r="I4" s="124" t="s">
        <v>1977</v>
      </c>
      <c r="K4" s="113"/>
      <c r="L4" s="120" t="s">
        <v>1978</v>
      </c>
      <c r="M4" s="125" t="s">
        <v>1979</v>
      </c>
      <c r="N4" s="126">
        <v>6.9606514E7</v>
      </c>
      <c r="O4" s="127" t="s">
        <v>1980</v>
      </c>
      <c r="P4" s="126">
        <v>6686671.0</v>
      </c>
      <c r="S4" s="128" t="s">
        <v>1981</v>
      </c>
    </row>
    <row r="5">
      <c r="A5" s="112">
        <v>1.0</v>
      </c>
      <c r="B5" s="120" t="s">
        <v>1982</v>
      </c>
      <c r="C5" s="129" t="s">
        <v>221</v>
      </c>
      <c r="D5" s="130" t="s">
        <v>222</v>
      </c>
      <c r="E5" s="131" t="s">
        <v>223</v>
      </c>
      <c r="F5" s="132" t="s">
        <v>225</v>
      </c>
      <c r="G5" s="133">
        <v>6.1143748E7</v>
      </c>
      <c r="H5" s="130" t="s">
        <v>226</v>
      </c>
      <c r="I5" s="134" t="s">
        <v>1983</v>
      </c>
      <c r="K5" s="112">
        <v>1.0</v>
      </c>
      <c r="L5" s="120" t="s">
        <v>1982</v>
      </c>
      <c r="M5" s="135" t="s">
        <v>261</v>
      </c>
      <c r="N5" s="136" t="s">
        <v>262</v>
      </c>
      <c r="O5" s="137" t="s">
        <v>263</v>
      </c>
      <c r="P5" s="138" t="s">
        <v>238</v>
      </c>
      <c r="Q5" s="139">
        <v>6.9606514E7</v>
      </c>
      <c r="R5" s="136" t="s">
        <v>265</v>
      </c>
    </row>
    <row r="6">
      <c r="A6" s="112">
        <v>2.0</v>
      </c>
      <c r="B6" s="120" t="s">
        <v>1984</v>
      </c>
      <c r="C6" s="129" t="s">
        <v>229</v>
      </c>
      <c r="D6" s="130" t="s">
        <v>230</v>
      </c>
      <c r="E6" s="140" t="s">
        <v>231</v>
      </c>
      <c r="F6" s="141" t="s">
        <v>225</v>
      </c>
      <c r="G6" s="133">
        <v>7.7798573E7</v>
      </c>
      <c r="H6" s="130" t="s">
        <v>233</v>
      </c>
      <c r="I6" s="99"/>
      <c r="K6" s="112">
        <v>2.0</v>
      </c>
      <c r="L6" s="120" t="s">
        <v>1984</v>
      </c>
      <c r="M6" s="135" t="s">
        <v>267</v>
      </c>
      <c r="N6" s="136" t="s">
        <v>268</v>
      </c>
      <c r="O6" s="137" t="s">
        <v>269</v>
      </c>
      <c r="P6" s="138" t="s">
        <v>238</v>
      </c>
      <c r="Q6" s="139">
        <v>6.8424653E7</v>
      </c>
      <c r="R6" s="136" t="s">
        <v>271</v>
      </c>
    </row>
    <row r="7">
      <c r="A7" s="112">
        <v>3.0</v>
      </c>
      <c r="B7" s="120" t="s">
        <v>1985</v>
      </c>
      <c r="C7" s="129" t="s">
        <v>217</v>
      </c>
      <c r="D7" s="130" t="s">
        <v>235</v>
      </c>
      <c r="E7" s="142" t="s">
        <v>236</v>
      </c>
      <c r="F7" s="143" t="s">
        <v>238</v>
      </c>
      <c r="G7" s="133">
        <v>7.5805223E7</v>
      </c>
      <c r="H7" s="130" t="s">
        <v>219</v>
      </c>
      <c r="I7" s="99"/>
      <c r="K7" s="112">
        <v>3.0</v>
      </c>
      <c r="L7" s="120" t="s">
        <v>1985</v>
      </c>
      <c r="M7" s="135" t="s">
        <v>273</v>
      </c>
      <c r="N7" s="136" t="s">
        <v>274</v>
      </c>
      <c r="O7" s="137" t="s">
        <v>275</v>
      </c>
      <c r="P7" s="138" t="s">
        <v>238</v>
      </c>
      <c r="Q7" s="139">
        <v>7.1831636E7</v>
      </c>
      <c r="R7" s="136" t="s">
        <v>277</v>
      </c>
    </row>
    <row r="8">
      <c r="A8" s="112">
        <v>4.0</v>
      </c>
      <c r="B8" s="120" t="s">
        <v>1986</v>
      </c>
      <c r="C8" s="129" t="s">
        <v>240</v>
      </c>
      <c r="D8" s="130" t="s">
        <v>241</v>
      </c>
      <c r="E8" s="144" t="s">
        <v>242</v>
      </c>
      <c r="F8" s="132" t="s">
        <v>238</v>
      </c>
      <c r="G8" s="133">
        <v>6.8991239E7</v>
      </c>
      <c r="H8" s="130" t="s">
        <v>244</v>
      </c>
      <c r="I8" s="99"/>
      <c r="K8" s="112">
        <v>4.0</v>
      </c>
      <c r="L8" s="120" t="s">
        <v>1986</v>
      </c>
      <c r="M8" s="145" t="s">
        <v>1987</v>
      </c>
      <c r="N8" s="136" t="s">
        <v>280</v>
      </c>
      <c r="O8" s="131" t="s">
        <v>281</v>
      </c>
      <c r="P8" s="146" t="s">
        <v>238</v>
      </c>
      <c r="Q8" s="139">
        <v>7.8638275E7</v>
      </c>
      <c r="R8" s="136" t="s">
        <v>283</v>
      </c>
    </row>
    <row r="9">
      <c r="A9" s="112">
        <v>5.0</v>
      </c>
      <c r="B9" s="120" t="s">
        <v>1988</v>
      </c>
      <c r="C9" s="129" t="s">
        <v>246</v>
      </c>
      <c r="D9" s="130" t="s">
        <v>247</v>
      </c>
      <c r="E9" s="147" t="s">
        <v>248</v>
      </c>
      <c r="F9" s="148" t="s">
        <v>238</v>
      </c>
      <c r="G9" s="133">
        <v>6.7180812E7</v>
      </c>
      <c r="H9" s="130" t="s">
        <v>250</v>
      </c>
      <c r="I9" s="99"/>
      <c r="K9" s="112">
        <v>5.0</v>
      </c>
      <c r="L9" s="120" t="s">
        <v>1988</v>
      </c>
      <c r="M9" s="135" t="s">
        <v>285</v>
      </c>
      <c r="N9" s="136" t="s">
        <v>286</v>
      </c>
      <c r="O9" s="137" t="s">
        <v>287</v>
      </c>
      <c r="P9" s="138" t="s">
        <v>238</v>
      </c>
      <c r="Q9" s="139">
        <v>6.1630095E7</v>
      </c>
      <c r="R9" s="136" t="s">
        <v>289</v>
      </c>
    </row>
    <row r="10">
      <c r="A10" s="112" t="s">
        <v>1989</v>
      </c>
      <c r="B10" s="120" t="s">
        <v>1990</v>
      </c>
      <c r="C10" s="149" t="s">
        <v>251</v>
      </c>
      <c r="D10" s="140" t="s">
        <v>252</v>
      </c>
      <c r="G10" s="150"/>
      <c r="H10" s="150"/>
      <c r="I10" s="99"/>
      <c r="K10" s="112" t="s">
        <v>1989</v>
      </c>
      <c r="L10" s="120" t="s">
        <v>1991</v>
      </c>
      <c r="M10" s="151" t="s">
        <v>1992</v>
      </c>
      <c r="N10" s="152" t="s">
        <v>1993</v>
      </c>
      <c r="O10" s="153" t="s">
        <v>1994</v>
      </c>
      <c r="Q10" s="152">
        <v>7.848848E7</v>
      </c>
    </row>
    <row r="11">
      <c r="A11" s="112" t="s">
        <v>1995</v>
      </c>
      <c r="B11" s="154"/>
      <c r="I11" s="99"/>
      <c r="K11" s="112" t="s">
        <v>1995</v>
      </c>
      <c r="L11" s="120" t="s">
        <v>1996</v>
      </c>
      <c r="M11" s="152" t="s">
        <v>1997</v>
      </c>
      <c r="N11" s="152" t="s">
        <v>1998</v>
      </c>
      <c r="O11" s="155" t="s">
        <v>1999</v>
      </c>
      <c r="Q11" s="152">
        <v>6.9644894E7</v>
      </c>
    </row>
    <row r="12">
      <c r="A12" s="113"/>
      <c r="B12" s="154"/>
      <c r="I12" s="99"/>
      <c r="K12" s="113"/>
      <c r="L12" s="154"/>
    </row>
    <row r="13">
      <c r="A13" s="113"/>
      <c r="B13" s="154"/>
      <c r="I13" s="99"/>
      <c r="K13" s="113"/>
      <c r="L13" s="154"/>
    </row>
    <row r="14">
      <c r="A14" s="114">
        <v>3.0</v>
      </c>
      <c r="B14" s="156" t="s">
        <v>293</v>
      </c>
      <c r="C14" s="116" t="s">
        <v>294</v>
      </c>
      <c r="D14" s="117"/>
      <c r="E14" s="117"/>
      <c r="F14" s="117"/>
      <c r="G14" s="117"/>
      <c r="H14" s="117"/>
      <c r="I14" s="118"/>
      <c r="J14" s="117"/>
      <c r="K14" s="114">
        <v>4.0</v>
      </c>
      <c r="L14" s="157" t="s">
        <v>328</v>
      </c>
      <c r="M14" s="119" t="s">
        <v>329</v>
      </c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3"/>
      <c r="BD14" s="113"/>
      <c r="BE14" s="113"/>
    </row>
    <row r="15">
      <c r="A15" s="113"/>
      <c r="B15" s="120" t="s">
        <v>1976</v>
      </c>
      <c r="C15" s="158" t="s">
        <v>297</v>
      </c>
      <c r="D15" s="159">
        <v>7.129936E7</v>
      </c>
      <c r="E15" s="123" t="s">
        <v>299</v>
      </c>
      <c r="F15" s="122">
        <v>1.379752E7</v>
      </c>
      <c r="I15" s="124" t="s">
        <v>1977</v>
      </c>
      <c r="K15" s="113"/>
      <c r="L15" s="120" t="s">
        <v>1976</v>
      </c>
      <c r="M15" s="160" t="s">
        <v>332</v>
      </c>
      <c r="N15" s="126">
        <v>6.9494737E7</v>
      </c>
      <c r="O15" s="161" t="s">
        <v>334</v>
      </c>
      <c r="P15" s="126">
        <v>5315744.0</v>
      </c>
      <c r="S15" s="162" t="s">
        <v>1981</v>
      </c>
    </row>
    <row r="16">
      <c r="A16" s="112">
        <v>1.0</v>
      </c>
      <c r="B16" s="120" t="s">
        <v>1982</v>
      </c>
      <c r="C16" s="129" t="s">
        <v>301</v>
      </c>
      <c r="D16" s="130" t="s">
        <v>302</v>
      </c>
      <c r="E16" s="163" t="s">
        <v>303</v>
      </c>
      <c r="F16" s="146" t="s">
        <v>238</v>
      </c>
      <c r="G16" s="164">
        <v>7.7520202E7</v>
      </c>
      <c r="H16" s="130" t="s">
        <v>305</v>
      </c>
      <c r="I16" s="134" t="s">
        <v>1983</v>
      </c>
      <c r="K16" s="112">
        <v>1.0</v>
      </c>
      <c r="L16" s="120" t="s">
        <v>1982</v>
      </c>
      <c r="M16" s="135" t="s">
        <v>336</v>
      </c>
      <c r="N16" s="136" t="s">
        <v>337</v>
      </c>
      <c r="O16" s="137" t="s">
        <v>338</v>
      </c>
      <c r="P16" s="138" t="s">
        <v>238</v>
      </c>
      <c r="Q16" s="139">
        <v>7.783104E7</v>
      </c>
      <c r="R16" s="136" t="s">
        <v>340</v>
      </c>
    </row>
    <row r="17">
      <c r="A17" s="112">
        <v>2.0</v>
      </c>
      <c r="B17" s="120" t="s">
        <v>1984</v>
      </c>
      <c r="C17" s="129" t="s">
        <v>306</v>
      </c>
      <c r="D17" s="165" t="s">
        <v>500</v>
      </c>
      <c r="E17" s="131" t="s">
        <v>308</v>
      </c>
      <c r="F17" s="146" t="s">
        <v>238</v>
      </c>
      <c r="G17" s="166">
        <v>7.129936E7</v>
      </c>
      <c r="H17" s="130" t="s">
        <v>299</v>
      </c>
      <c r="I17" s="99"/>
      <c r="K17" s="112">
        <v>2.0</v>
      </c>
      <c r="L17" s="120" t="s">
        <v>1984</v>
      </c>
      <c r="M17" s="135" t="s">
        <v>342</v>
      </c>
      <c r="N17" s="136" t="s">
        <v>343</v>
      </c>
      <c r="O17" s="147" t="s">
        <v>344</v>
      </c>
      <c r="P17" s="138" t="s">
        <v>238</v>
      </c>
      <c r="Q17" s="139">
        <v>6.0722728E7</v>
      </c>
      <c r="R17" s="136" t="s">
        <v>346</v>
      </c>
    </row>
    <row r="18">
      <c r="A18" s="112">
        <v>3.0</v>
      </c>
      <c r="B18" s="120" t="s">
        <v>1985</v>
      </c>
      <c r="C18" s="129" t="s">
        <v>310</v>
      </c>
      <c r="D18" s="130" t="s">
        <v>311</v>
      </c>
      <c r="E18" s="137" t="s">
        <v>312</v>
      </c>
      <c r="F18" s="138" t="s">
        <v>238</v>
      </c>
      <c r="G18" s="164">
        <v>7.7150403E7</v>
      </c>
      <c r="H18" s="130" t="s">
        <v>314</v>
      </c>
      <c r="I18" s="99"/>
      <c r="K18" s="112">
        <v>3.0</v>
      </c>
      <c r="L18" s="120" t="s">
        <v>1985</v>
      </c>
      <c r="M18" s="135" t="s">
        <v>348</v>
      </c>
      <c r="N18" s="136" t="s">
        <v>349</v>
      </c>
      <c r="O18" s="137" t="s">
        <v>350</v>
      </c>
      <c r="P18" s="138" t="s">
        <v>238</v>
      </c>
      <c r="Q18" s="132" t="s">
        <v>352</v>
      </c>
      <c r="R18" s="136" t="s">
        <v>353</v>
      </c>
    </row>
    <row r="19">
      <c r="A19" s="112">
        <v>4.0</v>
      </c>
      <c r="B19" s="120" t="s">
        <v>1986</v>
      </c>
      <c r="C19" s="167" t="s">
        <v>321</v>
      </c>
      <c r="D19" s="152" t="s">
        <v>2000</v>
      </c>
      <c r="G19" s="167">
        <v>7.2206046E7</v>
      </c>
      <c r="H19" s="167" t="s">
        <v>504</v>
      </c>
      <c r="I19" s="99"/>
      <c r="K19" s="112">
        <v>4.0</v>
      </c>
      <c r="L19" s="120" t="s">
        <v>1986</v>
      </c>
      <c r="M19" s="135" t="s">
        <v>355</v>
      </c>
      <c r="N19" s="136" t="s">
        <v>356</v>
      </c>
      <c r="O19" s="144" t="s">
        <v>357</v>
      </c>
      <c r="P19" s="138" t="s">
        <v>238</v>
      </c>
      <c r="Q19" s="139">
        <v>6.406661E7</v>
      </c>
      <c r="R19" s="136" t="s">
        <v>358</v>
      </c>
    </row>
    <row r="20">
      <c r="A20" s="112">
        <v>5.0</v>
      </c>
      <c r="B20" s="120" t="s">
        <v>1988</v>
      </c>
      <c r="C20" s="97" t="s">
        <v>2001</v>
      </c>
      <c r="D20" s="168" t="s">
        <v>2002</v>
      </c>
      <c r="F20" s="98"/>
      <c r="G20" s="98">
        <v>6.720021E7</v>
      </c>
      <c r="H20" s="97" t="s">
        <v>2003</v>
      </c>
      <c r="I20" s="99"/>
      <c r="K20" s="112">
        <v>5.0</v>
      </c>
      <c r="L20" s="120" t="s">
        <v>1988</v>
      </c>
      <c r="M20" s="135" t="s">
        <v>360</v>
      </c>
      <c r="N20" s="136" t="s">
        <v>361</v>
      </c>
      <c r="O20" s="137" t="s">
        <v>362</v>
      </c>
      <c r="P20" s="138" t="s">
        <v>238</v>
      </c>
      <c r="Q20" s="139">
        <v>7.1705483E7</v>
      </c>
      <c r="R20" s="136" t="s">
        <v>364</v>
      </c>
    </row>
    <row r="21">
      <c r="A21" s="112" t="s">
        <v>1989</v>
      </c>
      <c r="B21" s="120" t="s">
        <v>1990</v>
      </c>
      <c r="C21" s="167" t="s">
        <v>315</v>
      </c>
      <c r="D21" s="167" t="s">
        <v>505</v>
      </c>
      <c r="E21" s="167" t="s">
        <v>506</v>
      </c>
      <c r="F21" s="167" t="s">
        <v>238</v>
      </c>
      <c r="G21" s="167">
        <v>7.4460199E7</v>
      </c>
      <c r="H21" s="167" t="s">
        <v>508</v>
      </c>
      <c r="I21" s="99"/>
      <c r="K21" s="112" t="s">
        <v>1989</v>
      </c>
      <c r="L21" s="120" t="s">
        <v>1990</v>
      </c>
      <c r="M21" s="151" t="s">
        <v>2004</v>
      </c>
      <c r="N21" s="150"/>
      <c r="O21" s="169" t="s">
        <v>2005</v>
      </c>
      <c r="Q21" s="150"/>
      <c r="R21" s="150"/>
    </row>
    <row r="22">
      <c r="A22" s="112" t="s">
        <v>1995</v>
      </c>
      <c r="B22" s="154"/>
      <c r="I22" s="99"/>
      <c r="K22" s="112" t="s">
        <v>1995</v>
      </c>
      <c r="L22" s="120" t="s">
        <v>1990</v>
      </c>
      <c r="M22" s="152" t="s">
        <v>2006</v>
      </c>
      <c r="N22" s="150"/>
      <c r="O22" s="155" t="s">
        <v>2007</v>
      </c>
      <c r="Q22" s="150"/>
      <c r="R22" s="150"/>
    </row>
    <row r="23">
      <c r="A23" s="112"/>
      <c r="B23" s="154"/>
      <c r="C23" s="170"/>
      <c r="I23" s="99"/>
      <c r="K23" s="112" t="s">
        <v>2008</v>
      </c>
      <c r="L23" s="120" t="s">
        <v>1990</v>
      </c>
      <c r="M23" s="152" t="s">
        <v>2009</v>
      </c>
      <c r="N23" s="150"/>
      <c r="O23" s="155" t="s">
        <v>2010</v>
      </c>
      <c r="Q23" s="171">
        <v>6.993817E7</v>
      </c>
      <c r="R23" s="150"/>
    </row>
    <row r="24">
      <c r="A24" s="113"/>
      <c r="B24" s="154"/>
      <c r="I24" s="99"/>
      <c r="K24" s="113"/>
      <c r="L24" s="154"/>
    </row>
    <row r="25">
      <c r="A25" s="114">
        <v>5.0</v>
      </c>
      <c r="B25" s="156" t="s">
        <v>367</v>
      </c>
      <c r="C25" s="116" t="s">
        <v>368</v>
      </c>
      <c r="D25" s="117"/>
      <c r="E25" s="117"/>
      <c r="F25" s="117"/>
      <c r="G25" s="117"/>
      <c r="H25" s="117"/>
      <c r="I25" s="118"/>
      <c r="J25" s="117"/>
      <c r="K25" s="114">
        <v>6.0</v>
      </c>
      <c r="L25" s="156" t="s">
        <v>397</v>
      </c>
      <c r="M25" s="119" t="s">
        <v>398</v>
      </c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3"/>
      <c r="BD25" s="113"/>
      <c r="BE25" s="113"/>
    </row>
    <row r="26">
      <c r="A26" s="113"/>
      <c r="B26" s="120" t="s">
        <v>1976</v>
      </c>
      <c r="C26" s="121" t="s">
        <v>370</v>
      </c>
      <c r="D26" s="122">
        <v>7.2065626E7</v>
      </c>
      <c r="E26" s="123" t="s">
        <v>372</v>
      </c>
      <c r="F26" s="122">
        <v>6988841.0</v>
      </c>
      <c r="I26" s="172" t="s">
        <v>1981</v>
      </c>
      <c r="K26" s="113"/>
      <c r="L26" s="120" t="s">
        <v>1976</v>
      </c>
      <c r="M26" s="173" t="s">
        <v>418</v>
      </c>
      <c r="N26" s="174">
        <v>7.7301405E7</v>
      </c>
      <c r="O26" s="161" t="s">
        <v>422</v>
      </c>
      <c r="P26" s="126"/>
      <c r="S26" s="175" t="s">
        <v>1981</v>
      </c>
    </row>
    <row r="27">
      <c r="A27" s="112">
        <v>1.0</v>
      </c>
      <c r="B27" s="120" t="s">
        <v>1982</v>
      </c>
      <c r="C27" s="129" t="s">
        <v>373</v>
      </c>
      <c r="D27" s="176" t="s">
        <v>2011</v>
      </c>
      <c r="E27" s="137" t="s">
        <v>375</v>
      </c>
      <c r="F27" s="138" t="s">
        <v>238</v>
      </c>
      <c r="G27" s="133">
        <v>7.8943368E7</v>
      </c>
      <c r="H27" s="130" t="s">
        <v>377</v>
      </c>
      <c r="I27" s="99"/>
      <c r="K27" s="112">
        <v>1.0</v>
      </c>
      <c r="L27" s="177" t="s">
        <v>1982</v>
      </c>
      <c r="M27" s="178" t="s">
        <v>405</v>
      </c>
      <c r="N27" s="135" t="s">
        <v>406</v>
      </c>
      <c r="O27" s="144" t="s">
        <v>407</v>
      </c>
      <c r="P27" s="132" t="s">
        <v>225</v>
      </c>
      <c r="Q27" s="139">
        <v>7.6546402E7</v>
      </c>
      <c r="R27" s="136" t="s">
        <v>409</v>
      </c>
    </row>
    <row r="28">
      <c r="A28" s="112">
        <v>2.0</v>
      </c>
      <c r="B28" s="120" t="s">
        <v>1984</v>
      </c>
      <c r="C28" s="129" t="s">
        <v>370</v>
      </c>
      <c r="D28" s="176" t="s">
        <v>2012</v>
      </c>
      <c r="E28" s="137" t="s">
        <v>379</v>
      </c>
      <c r="F28" s="138" t="s">
        <v>238</v>
      </c>
      <c r="G28" s="133">
        <v>7.2065626E7</v>
      </c>
      <c r="H28" s="130" t="s">
        <v>372</v>
      </c>
      <c r="I28" s="99"/>
      <c r="K28" s="112">
        <v>2.0</v>
      </c>
      <c r="L28" s="177" t="s">
        <v>1984</v>
      </c>
      <c r="M28" s="178" t="s">
        <v>410</v>
      </c>
      <c r="N28" s="179" t="s">
        <v>411</v>
      </c>
      <c r="O28" s="144" t="s">
        <v>412</v>
      </c>
      <c r="P28" s="132" t="s">
        <v>225</v>
      </c>
      <c r="Q28" s="139">
        <v>6.2536058E7</v>
      </c>
      <c r="R28" s="136" t="s">
        <v>414</v>
      </c>
    </row>
    <row r="29">
      <c r="A29" s="112">
        <v>3.0</v>
      </c>
      <c r="B29" s="120" t="s">
        <v>1985</v>
      </c>
      <c r="C29" s="129" t="s">
        <v>381</v>
      </c>
      <c r="D29" s="176" t="s">
        <v>2013</v>
      </c>
      <c r="E29" s="137" t="s">
        <v>383</v>
      </c>
      <c r="F29" s="138" t="s">
        <v>238</v>
      </c>
      <c r="G29" s="133">
        <v>6.5675547E7</v>
      </c>
      <c r="H29" s="130" t="s">
        <v>385</v>
      </c>
      <c r="I29" s="99"/>
      <c r="K29" s="112">
        <v>3.0</v>
      </c>
      <c r="L29" s="177" t="s">
        <v>1985</v>
      </c>
      <c r="M29" s="178" t="s">
        <v>401</v>
      </c>
      <c r="N29" s="135" t="s">
        <v>415</v>
      </c>
      <c r="O29" s="144" t="s">
        <v>416</v>
      </c>
      <c r="P29" s="132" t="s">
        <v>225</v>
      </c>
      <c r="Q29" s="139">
        <v>7.0566377E7</v>
      </c>
      <c r="R29" s="136" t="s">
        <v>403</v>
      </c>
      <c r="S29" s="126">
        <v>6746809.0</v>
      </c>
    </row>
    <row r="30">
      <c r="A30" s="112">
        <v>4.0</v>
      </c>
      <c r="B30" s="120" t="s">
        <v>1986</v>
      </c>
      <c r="C30" s="129" t="s">
        <v>386</v>
      </c>
      <c r="D30" s="176" t="s">
        <v>2014</v>
      </c>
      <c r="E30" s="137" t="s">
        <v>388</v>
      </c>
      <c r="F30" s="138" t="s">
        <v>238</v>
      </c>
      <c r="G30" s="133">
        <v>6.418246E7</v>
      </c>
      <c r="H30" s="130" t="s">
        <v>389</v>
      </c>
      <c r="I30" s="99"/>
      <c r="K30" s="112">
        <v>4.0</v>
      </c>
      <c r="L30" s="177" t="s">
        <v>1986</v>
      </c>
      <c r="M30" s="180" t="s">
        <v>418</v>
      </c>
      <c r="N30" s="179" t="s">
        <v>419</v>
      </c>
      <c r="O30" s="137" t="s">
        <v>420</v>
      </c>
      <c r="P30" s="138" t="s">
        <v>238</v>
      </c>
      <c r="Q30" s="139">
        <v>7.7301405E7</v>
      </c>
      <c r="R30" s="136" t="s">
        <v>422</v>
      </c>
    </row>
    <row r="31">
      <c r="A31" s="112">
        <v>5.0</v>
      </c>
      <c r="B31" s="120" t="s">
        <v>1988</v>
      </c>
      <c r="C31" s="129" t="s">
        <v>390</v>
      </c>
      <c r="D31" s="176" t="s">
        <v>2015</v>
      </c>
      <c r="E31" s="137" t="s">
        <v>392</v>
      </c>
      <c r="F31" s="138" t="s">
        <v>238</v>
      </c>
      <c r="G31" s="133">
        <v>7.8795912E7</v>
      </c>
      <c r="H31" s="130" t="s">
        <v>394</v>
      </c>
      <c r="I31" s="99"/>
      <c r="K31" s="112">
        <v>5.0</v>
      </c>
      <c r="L31" s="177" t="s">
        <v>1988</v>
      </c>
      <c r="M31" s="180" t="s">
        <v>423</v>
      </c>
      <c r="N31" s="179" t="s">
        <v>424</v>
      </c>
      <c r="O31" s="131" t="s">
        <v>425</v>
      </c>
      <c r="P31" s="132" t="s">
        <v>225</v>
      </c>
      <c r="Q31" s="139">
        <v>7.6244293E7</v>
      </c>
      <c r="R31" s="136" t="s">
        <v>427</v>
      </c>
    </row>
    <row r="32">
      <c r="A32" s="112" t="s">
        <v>1989</v>
      </c>
      <c r="B32" s="120" t="s">
        <v>2016</v>
      </c>
      <c r="C32" s="181" t="s">
        <v>2017</v>
      </c>
      <c r="D32" s="182" t="s">
        <v>2018</v>
      </c>
      <c r="E32" s="183" t="s">
        <v>396</v>
      </c>
      <c r="G32" s="152">
        <v>7.8963408E7</v>
      </c>
      <c r="H32" s="150"/>
      <c r="I32" s="99"/>
      <c r="K32" s="112" t="s">
        <v>1989</v>
      </c>
      <c r="L32" s="177" t="s">
        <v>2019</v>
      </c>
      <c r="M32" s="178" t="s">
        <v>428</v>
      </c>
      <c r="N32" s="152" t="s">
        <v>2020</v>
      </c>
      <c r="O32" s="184" t="s">
        <v>429</v>
      </c>
      <c r="Q32" s="152">
        <v>6.9803414E7</v>
      </c>
    </row>
    <row r="33">
      <c r="A33" s="112" t="s">
        <v>1995</v>
      </c>
      <c r="B33" s="120" t="s">
        <v>2021</v>
      </c>
      <c r="C33" s="152" t="s">
        <v>2022</v>
      </c>
      <c r="D33" s="182" t="s">
        <v>2023</v>
      </c>
      <c r="G33" s="152">
        <v>6.2467999E7</v>
      </c>
      <c r="H33" s="150"/>
      <c r="I33" s="99"/>
      <c r="K33" s="112" t="s">
        <v>1995</v>
      </c>
      <c r="L33" s="154"/>
    </row>
    <row r="34">
      <c r="A34" s="113"/>
      <c r="B34" s="120" t="s">
        <v>2019</v>
      </c>
      <c r="C34" s="152" t="s">
        <v>2024</v>
      </c>
      <c r="D34" s="182" t="s">
        <v>2025</v>
      </c>
      <c r="G34" s="152">
        <v>7.0680656E7</v>
      </c>
      <c r="H34" s="150"/>
      <c r="I34" s="99"/>
      <c r="K34" s="113"/>
      <c r="L34" s="154"/>
    </row>
    <row r="35">
      <c r="A35" s="113"/>
      <c r="B35" s="154"/>
      <c r="I35" s="99"/>
      <c r="K35" s="113"/>
      <c r="L35" s="154"/>
    </row>
    <row r="36">
      <c r="A36" s="114">
        <v>7.0</v>
      </c>
      <c r="B36" s="156" t="s">
        <v>430</v>
      </c>
      <c r="C36" s="116" t="s">
        <v>431</v>
      </c>
      <c r="D36" s="117"/>
      <c r="E36" s="117"/>
      <c r="F36" s="117"/>
      <c r="G36" s="117"/>
      <c r="H36" s="117"/>
      <c r="I36" s="118"/>
      <c r="J36" s="117"/>
      <c r="K36" s="114">
        <v>8.0</v>
      </c>
      <c r="L36" s="156" t="s">
        <v>464</v>
      </c>
      <c r="M36" s="119" t="s">
        <v>465</v>
      </c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  <c r="AW36" s="117"/>
      <c r="AX36" s="117"/>
      <c r="AY36" s="117"/>
      <c r="AZ36" s="117"/>
      <c r="BA36" s="117"/>
      <c r="BB36" s="117"/>
      <c r="BC36" s="113"/>
      <c r="BD36" s="113"/>
      <c r="BE36" s="113"/>
    </row>
    <row r="37">
      <c r="A37" s="113"/>
      <c r="B37" s="120" t="s">
        <v>1976</v>
      </c>
      <c r="C37" s="121" t="s">
        <v>434</v>
      </c>
      <c r="D37" s="122">
        <v>7.8683003E7</v>
      </c>
      <c r="E37" s="123" t="s">
        <v>436</v>
      </c>
      <c r="F37" s="123" t="s">
        <v>437</v>
      </c>
      <c r="I37" s="124" t="s">
        <v>2026</v>
      </c>
      <c r="K37" s="113"/>
      <c r="L37" s="120" t="s">
        <v>1976</v>
      </c>
      <c r="M37" s="160" t="s">
        <v>467</v>
      </c>
      <c r="N37" s="126">
        <v>7.4259216E7</v>
      </c>
      <c r="O37" s="161" t="s">
        <v>469</v>
      </c>
      <c r="P37" s="126">
        <v>1.4486424E7</v>
      </c>
      <c r="S37" s="175" t="s">
        <v>1977</v>
      </c>
    </row>
    <row r="38">
      <c r="A38" s="112">
        <v>1.0</v>
      </c>
      <c r="B38" s="120" t="s">
        <v>1982</v>
      </c>
      <c r="C38" s="129" t="s">
        <v>439</v>
      </c>
      <c r="D38" s="130" t="s">
        <v>440</v>
      </c>
      <c r="E38" s="144" t="s">
        <v>441</v>
      </c>
      <c r="F38" s="132" t="s">
        <v>225</v>
      </c>
      <c r="G38" s="133">
        <v>6.9864424E7</v>
      </c>
      <c r="H38" s="130" t="s">
        <v>443</v>
      </c>
      <c r="I38" s="99"/>
      <c r="K38" s="112">
        <v>1.0</v>
      </c>
      <c r="L38" s="120" t="s">
        <v>1982</v>
      </c>
      <c r="M38" s="135" t="s">
        <v>470</v>
      </c>
      <c r="N38" s="136" t="s">
        <v>471</v>
      </c>
      <c r="O38" s="131" t="s">
        <v>472</v>
      </c>
      <c r="P38" s="143" t="s">
        <v>238</v>
      </c>
      <c r="Q38" s="139">
        <v>6.9791594E7</v>
      </c>
      <c r="R38" s="136" t="s">
        <v>474</v>
      </c>
      <c r="S38" s="171" t="s">
        <v>2027</v>
      </c>
    </row>
    <row r="39">
      <c r="A39" s="112">
        <v>2.0</v>
      </c>
      <c r="B39" s="120" t="s">
        <v>1984</v>
      </c>
      <c r="C39" s="152" t="s">
        <v>2028</v>
      </c>
      <c r="D39" s="152" t="s">
        <v>2029</v>
      </c>
      <c r="G39" s="152">
        <v>7.3462928E7</v>
      </c>
      <c r="H39" s="152" t="s">
        <v>2030</v>
      </c>
      <c r="I39" s="99"/>
      <c r="K39" s="112">
        <v>2.0</v>
      </c>
      <c r="L39" s="120" t="s">
        <v>1984</v>
      </c>
      <c r="M39" s="135" t="s">
        <v>476</v>
      </c>
      <c r="N39" s="136" t="s">
        <v>477</v>
      </c>
      <c r="O39" s="137" t="s">
        <v>478</v>
      </c>
      <c r="P39" s="138" t="s">
        <v>238</v>
      </c>
      <c r="Q39" s="139">
        <v>6.5298021E7</v>
      </c>
      <c r="R39" s="136" t="s">
        <v>480</v>
      </c>
    </row>
    <row r="40">
      <c r="A40" s="112">
        <v>3.0</v>
      </c>
      <c r="B40" s="120" t="s">
        <v>1985</v>
      </c>
      <c r="C40" s="129" t="s">
        <v>444</v>
      </c>
      <c r="D40" s="130" t="s">
        <v>445</v>
      </c>
      <c r="E40" s="144" t="s">
        <v>446</v>
      </c>
      <c r="F40" s="146" t="s">
        <v>238</v>
      </c>
      <c r="G40" s="133">
        <v>6.3769992E7</v>
      </c>
      <c r="H40" s="130" t="s">
        <v>448</v>
      </c>
      <c r="I40" s="102"/>
      <c r="K40" s="112">
        <v>3.0</v>
      </c>
      <c r="L40" s="120" t="s">
        <v>1985</v>
      </c>
      <c r="M40" s="135" t="s">
        <v>467</v>
      </c>
      <c r="N40" s="136" t="s">
        <v>481</v>
      </c>
      <c r="O40" s="137" t="s">
        <v>482</v>
      </c>
      <c r="P40" s="138" t="s">
        <v>238</v>
      </c>
      <c r="Q40" s="139">
        <v>7.4259216E7</v>
      </c>
      <c r="R40" s="136" t="s">
        <v>469</v>
      </c>
    </row>
    <row r="41">
      <c r="A41" s="112">
        <v>4.0</v>
      </c>
      <c r="B41" s="120" t="s">
        <v>1986</v>
      </c>
      <c r="C41" s="129" t="s">
        <v>434</v>
      </c>
      <c r="D41" s="130" t="s">
        <v>455</v>
      </c>
      <c r="E41" s="137" t="s">
        <v>456</v>
      </c>
      <c r="F41" s="138" t="s">
        <v>238</v>
      </c>
      <c r="G41" s="133">
        <v>7.8683003E7</v>
      </c>
      <c r="H41" s="130" t="s">
        <v>436</v>
      </c>
      <c r="I41" s="99"/>
      <c r="K41" s="112">
        <v>4.0</v>
      </c>
      <c r="L41" s="120" t="s">
        <v>1986</v>
      </c>
      <c r="M41" s="135" t="s">
        <v>484</v>
      </c>
      <c r="N41" s="136" t="s">
        <v>485</v>
      </c>
      <c r="O41" s="137" t="s">
        <v>486</v>
      </c>
      <c r="P41" s="138" t="s">
        <v>238</v>
      </c>
      <c r="Q41" s="139">
        <v>6.0200629E7</v>
      </c>
      <c r="R41" s="136" t="s">
        <v>488</v>
      </c>
    </row>
    <row r="42">
      <c r="A42" s="112">
        <v>5.0</v>
      </c>
      <c r="B42" s="120" t="s">
        <v>1988</v>
      </c>
      <c r="C42" s="152" t="s">
        <v>2031</v>
      </c>
      <c r="D42" s="152" t="s">
        <v>2032</v>
      </c>
      <c r="G42" s="152">
        <v>7.544179E7</v>
      </c>
      <c r="H42" s="152" t="s">
        <v>2033</v>
      </c>
      <c r="I42" s="99"/>
      <c r="K42" s="112">
        <v>5.0</v>
      </c>
      <c r="L42" s="120" t="s">
        <v>1988</v>
      </c>
      <c r="M42" s="135" t="s">
        <v>489</v>
      </c>
      <c r="N42" s="136" t="s">
        <v>490</v>
      </c>
      <c r="O42" s="185" t="s">
        <v>491</v>
      </c>
      <c r="P42" s="143" t="s">
        <v>238</v>
      </c>
      <c r="Q42" s="139">
        <v>6.2489186E7</v>
      </c>
      <c r="R42" s="136" t="s">
        <v>490</v>
      </c>
    </row>
    <row r="43">
      <c r="A43" s="112" t="s">
        <v>1989</v>
      </c>
      <c r="B43" s="120" t="s">
        <v>1990</v>
      </c>
      <c r="C43" s="152" t="s">
        <v>2034</v>
      </c>
      <c r="D43" s="152" t="s">
        <v>2035</v>
      </c>
      <c r="I43" s="99"/>
      <c r="K43" s="112" t="s">
        <v>1989</v>
      </c>
      <c r="L43" s="186" t="s">
        <v>2036</v>
      </c>
      <c r="M43" s="181" t="s">
        <v>2037</v>
      </c>
      <c r="N43" s="152" t="s">
        <v>2038</v>
      </c>
      <c r="O43" s="187" t="s">
        <v>2039</v>
      </c>
      <c r="P43" s="152" t="s">
        <v>2040</v>
      </c>
      <c r="Q43" s="152">
        <v>6.7957669E7</v>
      </c>
    </row>
    <row r="44">
      <c r="A44" s="112" t="s">
        <v>1995</v>
      </c>
      <c r="B44" s="154"/>
      <c r="C44" s="188" t="s">
        <v>458</v>
      </c>
      <c r="D44" s="130" t="s">
        <v>459</v>
      </c>
      <c r="E44" s="144" t="s">
        <v>460</v>
      </c>
      <c r="F44" s="146" t="s">
        <v>238</v>
      </c>
      <c r="G44" s="133">
        <v>7.5633474E7</v>
      </c>
      <c r="H44" s="130" t="s">
        <v>462</v>
      </c>
      <c r="I44" s="99"/>
      <c r="K44" s="112" t="s">
        <v>1995</v>
      </c>
      <c r="L44" s="120" t="s">
        <v>2041</v>
      </c>
      <c r="M44" s="152" t="s">
        <v>2042</v>
      </c>
      <c r="N44" s="152" t="s">
        <v>2043</v>
      </c>
      <c r="Q44" s="152">
        <v>2.235732169E9</v>
      </c>
    </row>
    <row r="45">
      <c r="A45" s="112" t="s">
        <v>2044</v>
      </c>
      <c r="B45" s="120" t="s">
        <v>2045</v>
      </c>
      <c r="C45" s="152" t="s">
        <v>2046</v>
      </c>
      <c r="D45" s="152" t="s">
        <v>2047</v>
      </c>
      <c r="G45" s="152">
        <v>6.8103021E7</v>
      </c>
      <c r="I45" s="99"/>
      <c r="K45" s="113"/>
      <c r="L45" s="120" t="s">
        <v>2048</v>
      </c>
      <c r="M45" s="152" t="s">
        <v>2049</v>
      </c>
      <c r="N45" s="152" t="s">
        <v>2050</v>
      </c>
      <c r="Q45" s="152">
        <v>7.6461347E7</v>
      </c>
    </row>
    <row r="46">
      <c r="A46" s="113"/>
      <c r="B46" s="154"/>
      <c r="I46" s="99"/>
      <c r="K46" s="113"/>
      <c r="L46" s="154"/>
    </row>
    <row r="47">
      <c r="A47" s="114">
        <v>9.0</v>
      </c>
      <c r="B47" s="156" t="s">
        <v>511</v>
      </c>
      <c r="C47" s="119" t="s">
        <v>512</v>
      </c>
      <c r="D47" s="117"/>
      <c r="E47" s="117"/>
      <c r="F47" s="117"/>
      <c r="G47" s="117"/>
      <c r="H47" s="117"/>
      <c r="I47" s="118"/>
      <c r="J47" s="117"/>
      <c r="K47" s="114">
        <v>10.0</v>
      </c>
      <c r="L47" s="156" t="s">
        <v>550</v>
      </c>
      <c r="M47" s="116" t="s">
        <v>551</v>
      </c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  <c r="AR47" s="117"/>
      <c r="AS47" s="117"/>
      <c r="AT47" s="117"/>
      <c r="AU47" s="117"/>
      <c r="AV47" s="117"/>
      <c r="AW47" s="117"/>
      <c r="AX47" s="117"/>
      <c r="AY47" s="117"/>
      <c r="AZ47" s="117"/>
      <c r="BA47" s="117"/>
      <c r="BB47" s="117"/>
      <c r="BC47" s="113"/>
      <c r="BD47" s="113"/>
      <c r="BE47" s="113"/>
    </row>
    <row r="48">
      <c r="A48" s="113"/>
      <c r="B48" s="120" t="s">
        <v>1976</v>
      </c>
      <c r="C48" s="160" t="s">
        <v>515</v>
      </c>
      <c r="D48" s="126">
        <v>7.3803108E7</v>
      </c>
      <c r="E48" s="161" t="s">
        <v>517</v>
      </c>
      <c r="F48" s="126">
        <v>7333923.0</v>
      </c>
      <c r="I48" s="172" t="s">
        <v>1981</v>
      </c>
      <c r="K48" s="113"/>
      <c r="L48" s="120" t="s">
        <v>1976</v>
      </c>
      <c r="M48" s="121" t="s">
        <v>554</v>
      </c>
      <c r="N48" s="122">
        <v>6.9894808E7</v>
      </c>
      <c r="O48" s="123" t="s">
        <v>556</v>
      </c>
      <c r="P48" s="122">
        <v>1.054351E7</v>
      </c>
      <c r="S48" s="171" t="s">
        <v>2051</v>
      </c>
    </row>
    <row r="49">
      <c r="A49" s="112">
        <v>1.0</v>
      </c>
      <c r="B49" s="120" t="s">
        <v>1982</v>
      </c>
      <c r="C49" s="135" t="s">
        <v>518</v>
      </c>
      <c r="D49" s="136" t="s">
        <v>519</v>
      </c>
      <c r="E49" s="137" t="s">
        <v>520</v>
      </c>
      <c r="F49" s="138" t="s">
        <v>238</v>
      </c>
      <c r="G49" s="136" t="s">
        <v>522</v>
      </c>
      <c r="H49" s="136" t="s">
        <v>523</v>
      </c>
      <c r="I49" s="99"/>
      <c r="K49" s="112">
        <v>1.0</v>
      </c>
      <c r="L49" s="120" t="s">
        <v>1982</v>
      </c>
      <c r="M49" s="129" t="s">
        <v>554</v>
      </c>
      <c r="N49" s="130" t="s">
        <v>557</v>
      </c>
      <c r="O49" s="144" t="s">
        <v>558</v>
      </c>
      <c r="P49" s="189" t="s">
        <v>238</v>
      </c>
      <c r="Q49" s="133">
        <v>6.9894808E7</v>
      </c>
      <c r="R49" s="130" t="s">
        <v>560</v>
      </c>
      <c r="S49" s="171" t="s">
        <v>2052</v>
      </c>
    </row>
    <row r="50">
      <c r="A50" s="112">
        <v>2.0</v>
      </c>
      <c r="B50" s="120" t="s">
        <v>1984</v>
      </c>
      <c r="C50" s="135" t="s">
        <v>524</v>
      </c>
      <c r="D50" s="136" t="s">
        <v>525</v>
      </c>
      <c r="E50" s="137" t="s">
        <v>526</v>
      </c>
      <c r="F50" s="138" t="s">
        <v>238</v>
      </c>
      <c r="G50" s="136" t="s">
        <v>528</v>
      </c>
      <c r="H50" s="136" t="s">
        <v>529</v>
      </c>
      <c r="I50" s="99"/>
      <c r="K50" s="112">
        <v>2.0</v>
      </c>
      <c r="L50" s="120" t="s">
        <v>1984</v>
      </c>
      <c r="M50" s="129" t="s">
        <v>561</v>
      </c>
      <c r="N50" s="130" t="s">
        <v>562</v>
      </c>
      <c r="O50" s="137" t="s">
        <v>563</v>
      </c>
      <c r="P50" s="138" t="s">
        <v>238</v>
      </c>
      <c r="Q50" s="133">
        <v>6.9894808E7</v>
      </c>
      <c r="R50" s="130" t="s">
        <v>565</v>
      </c>
      <c r="S50" s="190" t="s">
        <v>2053</v>
      </c>
    </row>
    <row r="51">
      <c r="A51" s="112">
        <v>3.0</v>
      </c>
      <c r="B51" s="120" t="s">
        <v>1985</v>
      </c>
      <c r="C51" s="135" t="s">
        <v>530</v>
      </c>
      <c r="D51" s="136" t="s">
        <v>531</v>
      </c>
      <c r="E51" s="144" t="s">
        <v>532</v>
      </c>
      <c r="F51" s="146" t="s">
        <v>238</v>
      </c>
      <c r="G51" s="191" t="s">
        <v>534</v>
      </c>
      <c r="H51" s="136" t="s">
        <v>454</v>
      </c>
      <c r="I51" s="99"/>
      <c r="K51" s="112">
        <v>3.0</v>
      </c>
      <c r="L51" s="120" t="s">
        <v>1985</v>
      </c>
      <c r="M51" s="129" t="s">
        <v>566</v>
      </c>
      <c r="N51" s="130" t="s">
        <v>567</v>
      </c>
      <c r="O51" s="147" t="s">
        <v>568</v>
      </c>
      <c r="P51" s="148" t="s">
        <v>238</v>
      </c>
      <c r="Q51" s="133">
        <v>7.0548174E7</v>
      </c>
      <c r="R51" s="130" t="s">
        <v>570</v>
      </c>
    </row>
    <row r="52">
      <c r="A52" s="112">
        <v>4.0</v>
      </c>
      <c r="B52" s="120" t="s">
        <v>1986</v>
      </c>
      <c r="C52" s="135" t="s">
        <v>536</v>
      </c>
      <c r="D52" s="136" t="s">
        <v>537</v>
      </c>
      <c r="E52" s="137" t="s">
        <v>538</v>
      </c>
      <c r="F52" s="138" t="s">
        <v>238</v>
      </c>
      <c r="G52" s="136" t="s">
        <v>540</v>
      </c>
      <c r="H52" s="136" t="s">
        <v>541</v>
      </c>
      <c r="I52" s="99"/>
      <c r="K52" s="112">
        <v>4.0</v>
      </c>
      <c r="L52" s="120" t="s">
        <v>1986</v>
      </c>
      <c r="M52" s="129" t="s">
        <v>571</v>
      </c>
      <c r="N52" s="130" t="s">
        <v>572</v>
      </c>
      <c r="O52" s="137" t="s">
        <v>573</v>
      </c>
      <c r="P52" s="138" t="s">
        <v>238</v>
      </c>
      <c r="Q52" s="133">
        <v>6.1110403E7</v>
      </c>
      <c r="R52" s="130" t="s">
        <v>575</v>
      </c>
    </row>
    <row r="53">
      <c r="A53" s="112">
        <v>5.0</v>
      </c>
      <c r="B53" s="120" t="s">
        <v>1988</v>
      </c>
      <c r="C53" s="135" t="s">
        <v>542</v>
      </c>
      <c r="D53" s="136" t="s">
        <v>543</v>
      </c>
      <c r="E53" s="131" t="s">
        <v>544</v>
      </c>
      <c r="F53" s="192" t="s">
        <v>238</v>
      </c>
      <c r="G53" s="136" t="s">
        <v>546</v>
      </c>
      <c r="H53" s="136" t="s">
        <v>547</v>
      </c>
      <c r="I53" s="99"/>
      <c r="K53" s="112">
        <v>5.0</v>
      </c>
      <c r="L53" s="120" t="s">
        <v>1988</v>
      </c>
      <c r="M53" s="129" t="s">
        <v>576</v>
      </c>
      <c r="N53" s="130" t="s">
        <v>577</v>
      </c>
      <c r="O53" s="193"/>
      <c r="P53" s="148" t="s">
        <v>225</v>
      </c>
      <c r="Q53" s="133">
        <v>6.411958E7</v>
      </c>
      <c r="R53" s="130" t="s">
        <v>579</v>
      </c>
    </row>
    <row r="54">
      <c r="A54" s="112" t="s">
        <v>1989</v>
      </c>
      <c r="B54" s="120" t="s">
        <v>1990</v>
      </c>
      <c r="C54" s="151" t="s">
        <v>515</v>
      </c>
      <c r="D54" s="152" t="s">
        <v>2054</v>
      </c>
      <c r="E54" s="184" t="s">
        <v>549</v>
      </c>
      <c r="F54" s="152" t="s">
        <v>238</v>
      </c>
      <c r="G54" s="152">
        <v>7.3803108E7</v>
      </c>
      <c r="H54" s="152" t="s">
        <v>517</v>
      </c>
      <c r="I54" s="99"/>
      <c r="K54" s="112" t="s">
        <v>1989</v>
      </c>
      <c r="L54" s="120" t="s">
        <v>2055</v>
      </c>
      <c r="M54" s="152" t="s">
        <v>2056</v>
      </c>
      <c r="N54" s="152" t="s">
        <v>2057</v>
      </c>
      <c r="O54" s="155" t="s">
        <v>2058</v>
      </c>
      <c r="Q54" s="152">
        <v>7.5229226E7</v>
      </c>
      <c r="R54" s="152" t="s">
        <v>2059</v>
      </c>
    </row>
    <row r="55">
      <c r="A55" s="112" t="s">
        <v>1995</v>
      </c>
      <c r="B55" s="120" t="s">
        <v>1990</v>
      </c>
      <c r="C55" s="152" t="s">
        <v>2060</v>
      </c>
      <c r="D55" s="152" t="s">
        <v>2061</v>
      </c>
      <c r="E55" s="155" t="s">
        <v>2062</v>
      </c>
      <c r="G55" s="152">
        <v>6.7390918E7</v>
      </c>
      <c r="H55" s="152" t="s">
        <v>2063</v>
      </c>
      <c r="I55" s="99"/>
      <c r="K55" s="112" t="s">
        <v>1995</v>
      </c>
      <c r="L55" s="154"/>
    </row>
    <row r="56">
      <c r="A56" s="113"/>
      <c r="B56" s="120" t="s">
        <v>2064</v>
      </c>
      <c r="C56" s="152" t="s">
        <v>2065</v>
      </c>
      <c r="D56" s="152" t="s">
        <v>2066</v>
      </c>
      <c r="E56" s="155" t="s">
        <v>2067</v>
      </c>
      <c r="G56" s="152">
        <v>7.3759829E7</v>
      </c>
      <c r="H56" s="152" t="s">
        <v>2068</v>
      </c>
      <c r="I56" s="99"/>
      <c r="K56" s="113"/>
      <c r="L56" s="154"/>
    </row>
    <row r="57">
      <c r="A57" s="113"/>
      <c r="B57" s="154"/>
      <c r="I57" s="99"/>
      <c r="K57" s="113"/>
      <c r="L57" s="154"/>
    </row>
    <row r="58">
      <c r="A58" s="114">
        <v>11.0</v>
      </c>
      <c r="B58" s="156" t="s">
        <v>582</v>
      </c>
      <c r="C58" s="119" t="s">
        <v>583</v>
      </c>
      <c r="D58" s="117"/>
      <c r="E58" s="117"/>
      <c r="F58" s="117"/>
      <c r="G58" s="117"/>
      <c r="H58" s="117"/>
      <c r="I58" s="118"/>
      <c r="J58" s="117"/>
      <c r="K58" s="114">
        <v>12.0</v>
      </c>
      <c r="L58" s="156" t="s">
        <v>612</v>
      </c>
      <c r="M58" s="116" t="s">
        <v>613</v>
      </c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  <c r="AU58" s="117"/>
      <c r="AV58" s="117"/>
      <c r="AW58" s="117"/>
      <c r="AX58" s="117"/>
      <c r="AY58" s="117"/>
      <c r="AZ58" s="117"/>
      <c r="BA58" s="117"/>
      <c r="BB58" s="117"/>
      <c r="BC58" s="113"/>
      <c r="BD58" s="113"/>
      <c r="BE58" s="113"/>
    </row>
    <row r="59">
      <c r="A59" s="113"/>
      <c r="B59" s="120" t="s">
        <v>1976</v>
      </c>
      <c r="C59" s="160" t="s">
        <v>586</v>
      </c>
      <c r="D59" s="194">
        <v>7.4440079E7</v>
      </c>
      <c r="E59" s="161" t="s">
        <v>588</v>
      </c>
      <c r="F59" s="126">
        <v>1.3412017E7</v>
      </c>
      <c r="I59" s="124" t="s">
        <v>2026</v>
      </c>
      <c r="K59" s="113"/>
      <c r="L59" s="120" t="s">
        <v>1976</v>
      </c>
      <c r="M59" s="121" t="s">
        <v>616</v>
      </c>
      <c r="N59" s="122">
        <v>6.5655093E7</v>
      </c>
      <c r="O59" s="123" t="s">
        <v>618</v>
      </c>
      <c r="P59" s="122">
        <v>9104180.0</v>
      </c>
      <c r="S59" s="175" t="s">
        <v>1977</v>
      </c>
    </row>
    <row r="60">
      <c r="A60" s="112">
        <v>1.0</v>
      </c>
      <c r="B60" s="120" t="s">
        <v>1982</v>
      </c>
      <c r="C60" s="135" t="s">
        <v>589</v>
      </c>
      <c r="D60" s="195" t="s">
        <v>590</v>
      </c>
      <c r="E60" s="196" t="s">
        <v>2069</v>
      </c>
      <c r="F60" s="132" t="s">
        <v>225</v>
      </c>
      <c r="G60" s="139">
        <v>6.3258509E7</v>
      </c>
      <c r="H60" s="136" t="s">
        <v>593</v>
      </c>
      <c r="I60" s="99"/>
      <c r="K60" s="112">
        <v>1.0</v>
      </c>
      <c r="L60" s="120" t="s">
        <v>1982</v>
      </c>
      <c r="M60" s="129" t="s">
        <v>619</v>
      </c>
      <c r="N60" s="130" t="s">
        <v>620</v>
      </c>
      <c r="O60" s="131" t="s">
        <v>621</v>
      </c>
      <c r="P60" s="189" t="s">
        <v>238</v>
      </c>
      <c r="Q60" s="133">
        <v>7.585013E7</v>
      </c>
      <c r="R60" s="130" t="s">
        <v>622</v>
      </c>
      <c r="S60" s="171" t="s">
        <v>2052</v>
      </c>
    </row>
    <row r="61">
      <c r="A61" s="112">
        <v>2.0</v>
      </c>
      <c r="B61" s="120" t="s">
        <v>1984</v>
      </c>
      <c r="C61" s="135" t="s">
        <v>594</v>
      </c>
      <c r="D61" s="136" t="s">
        <v>595</v>
      </c>
      <c r="E61" s="137" t="s">
        <v>596</v>
      </c>
      <c r="F61" s="138" t="s">
        <v>238</v>
      </c>
      <c r="G61" s="139">
        <v>7.2777423E7</v>
      </c>
      <c r="H61" s="197" t="s">
        <v>2070</v>
      </c>
      <c r="I61" s="99"/>
      <c r="K61" s="112">
        <v>2.0</v>
      </c>
      <c r="L61" s="120" t="s">
        <v>1984</v>
      </c>
      <c r="M61" s="129" t="s">
        <v>623</v>
      </c>
      <c r="N61" s="130" t="s">
        <v>624</v>
      </c>
      <c r="O61" s="144" t="s">
        <v>625</v>
      </c>
      <c r="P61" s="146" t="s">
        <v>238</v>
      </c>
      <c r="Q61" s="133">
        <v>6.5196363E7</v>
      </c>
      <c r="R61" s="130" t="s">
        <v>627</v>
      </c>
      <c r="S61" s="171" t="s">
        <v>1983</v>
      </c>
    </row>
    <row r="62">
      <c r="A62" s="112">
        <v>3.0</v>
      </c>
      <c r="B62" s="120" t="s">
        <v>1985</v>
      </c>
      <c r="C62" s="135" t="s">
        <v>598</v>
      </c>
      <c r="D62" s="136" t="s">
        <v>599</v>
      </c>
      <c r="E62" s="137" t="s">
        <v>600</v>
      </c>
      <c r="F62" s="138" t="s">
        <v>238</v>
      </c>
      <c r="G62" s="139">
        <v>7.4631252E7</v>
      </c>
      <c r="H62" s="136" t="s">
        <v>602</v>
      </c>
      <c r="I62" s="99"/>
      <c r="K62" s="112">
        <v>3.0</v>
      </c>
      <c r="L62" s="120" t="s">
        <v>1985</v>
      </c>
      <c r="M62" s="129" t="s">
        <v>628</v>
      </c>
      <c r="N62" s="130" t="s">
        <v>629</v>
      </c>
      <c r="O62" s="131" t="s">
        <v>630</v>
      </c>
      <c r="P62" s="132" t="s">
        <v>238</v>
      </c>
      <c r="Q62" s="133">
        <v>6.5655093E7</v>
      </c>
      <c r="R62" s="130" t="s">
        <v>618</v>
      </c>
    </row>
    <row r="63">
      <c r="A63" s="112">
        <v>4.0</v>
      </c>
      <c r="B63" s="120" t="s">
        <v>1986</v>
      </c>
      <c r="C63" s="135" t="s">
        <v>586</v>
      </c>
      <c r="D63" s="136" t="s">
        <v>603</v>
      </c>
      <c r="E63" s="137" t="s">
        <v>604</v>
      </c>
      <c r="F63" s="138" t="s">
        <v>238</v>
      </c>
      <c r="G63" s="139">
        <v>7.4440079E7</v>
      </c>
      <c r="H63" s="136" t="s">
        <v>588</v>
      </c>
      <c r="I63" s="99"/>
      <c r="K63" s="112">
        <v>4.0</v>
      </c>
      <c r="L63" s="120" t="s">
        <v>1986</v>
      </c>
      <c r="M63" s="129" t="s">
        <v>632</v>
      </c>
      <c r="N63" s="130" t="s">
        <v>633</v>
      </c>
      <c r="O63" s="137" t="s">
        <v>634</v>
      </c>
      <c r="P63" s="138" t="s">
        <v>238</v>
      </c>
      <c r="Q63" s="133">
        <v>7.673964E7</v>
      </c>
      <c r="R63" s="130" t="s">
        <v>636</v>
      </c>
    </row>
    <row r="64">
      <c r="A64" s="112">
        <v>5.0</v>
      </c>
      <c r="B64" s="120" t="s">
        <v>1988</v>
      </c>
      <c r="C64" s="135" t="s">
        <v>606</v>
      </c>
      <c r="D64" s="195" t="s">
        <v>607</v>
      </c>
      <c r="E64" s="198" t="s">
        <v>2071</v>
      </c>
      <c r="F64" s="132" t="s">
        <v>225</v>
      </c>
      <c r="G64" s="139">
        <v>6.7074109E7</v>
      </c>
      <c r="H64" s="136" t="s">
        <v>609</v>
      </c>
      <c r="I64" s="99"/>
      <c r="K64" s="112">
        <v>5.0</v>
      </c>
      <c r="L64" s="120" t="s">
        <v>1988</v>
      </c>
      <c r="M64" s="129" t="s">
        <v>638</v>
      </c>
      <c r="N64" s="130" t="s">
        <v>639</v>
      </c>
      <c r="O64" s="131" t="s">
        <v>640</v>
      </c>
      <c r="P64" s="189" t="s">
        <v>238</v>
      </c>
      <c r="Q64" s="133">
        <v>7.6514404E7</v>
      </c>
      <c r="R64" s="130" t="s">
        <v>641</v>
      </c>
    </row>
    <row r="65">
      <c r="A65" s="112" t="s">
        <v>1989</v>
      </c>
      <c r="B65" s="186" t="s">
        <v>2072</v>
      </c>
      <c r="C65" s="181" t="s">
        <v>2073</v>
      </c>
      <c r="D65" s="152" t="s">
        <v>2074</v>
      </c>
      <c r="E65" s="187" t="s">
        <v>2075</v>
      </c>
      <c r="F65" s="150"/>
      <c r="G65" s="150"/>
      <c r="H65" s="150"/>
      <c r="I65" s="99"/>
      <c r="K65" s="112" t="s">
        <v>1989</v>
      </c>
      <c r="L65" s="186" t="s">
        <v>2016</v>
      </c>
      <c r="M65" s="181" t="s">
        <v>2076</v>
      </c>
      <c r="N65" s="152" t="s">
        <v>2077</v>
      </c>
      <c r="O65" s="199" t="s">
        <v>643</v>
      </c>
      <c r="Q65" s="152">
        <v>6.9897745E7</v>
      </c>
    </row>
    <row r="66">
      <c r="A66" s="112" t="s">
        <v>1995</v>
      </c>
      <c r="B66" s="120" t="s">
        <v>2064</v>
      </c>
      <c r="C66" s="152" t="s">
        <v>2078</v>
      </c>
      <c r="D66" s="152" t="s">
        <v>2079</v>
      </c>
      <c r="E66" s="155" t="s">
        <v>2080</v>
      </c>
      <c r="F66" s="150"/>
      <c r="G66" s="150"/>
      <c r="H66" s="150"/>
      <c r="I66" s="99"/>
      <c r="K66" s="112" t="s">
        <v>1995</v>
      </c>
      <c r="L66" s="154"/>
    </row>
    <row r="67">
      <c r="A67" s="113"/>
      <c r="B67" s="154"/>
      <c r="I67" s="99"/>
      <c r="K67" s="113"/>
      <c r="L67" s="154"/>
    </row>
    <row r="68">
      <c r="A68" s="113"/>
      <c r="B68" s="154"/>
      <c r="I68" s="99"/>
      <c r="K68" s="113"/>
      <c r="L68" s="154"/>
    </row>
    <row r="69">
      <c r="A69" s="114">
        <v>13.0</v>
      </c>
      <c r="B69" s="200" t="s">
        <v>707</v>
      </c>
      <c r="C69" s="119" t="s">
        <v>708</v>
      </c>
      <c r="D69" s="117"/>
      <c r="E69" s="117"/>
      <c r="F69" s="117"/>
      <c r="G69" s="117"/>
      <c r="H69" s="117"/>
      <c r="I69" s="118"/>
      <c r="J69" s="117"/>
      <c r="K69" s="114">
        <v>14.0</v>
      </c>
      <c r="L69" s="201" t="s">
        <v>739</v>
      </c>
      <c r="M69" s="116" t="s">
        <v>740</v>
      </c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117"/>
      <c r="AK69" s="117"/>
      <c r="AL69" s="117"/>
      <c r="AM69" s="117"/>
      <c r="AN69" s="117"/>
      <c r="AO69" s="117"/>
      <c r="AP69" s="117"/>
      <c r="AQ69" s="117"/>
      <c r="AR69" s="117"/>
      <c r="AS69" s="117"/>
      <c r="AT69" s="117"/>
      <c r="AU69" s="117"/>
      <c r="AV69" s="117"/>
      <c r="AW69" s="117"/>
      <c r="AX69" s="117"/>
      <c r="AY69" s="117"/>
      <c r="AZ69" s="117"/>
      <c r="BA69" s="117"/>
      <c r="BB69" s="117"/>
      <c r="BC69" s="113"/>
      <c r="BD69" s="113"/>
      <c r="BE69" s="113"/>
    </row>
    <row r="70">
      <c r="A70" s="113"/>
      <c r="B70" s="120" t="s">
        <v>1976</v>
      </c>
      <c r="C70" s="160" t="s">
        <v>711</v>
      </c>
      <c r="D70" s="126">
        <v>7.5161424E7</v>
      </c>
      <c r="E70" s="161" t="s">
        <v>713</v>
      </c>
      <c r="F70" s="126">
        <v>5802810.0</v>
      </c>
      <c r="I70" s="124" t="s">
        <v>2026</v>
      </c>
      <c r="K70" s="113"/>
      <c r="L70" s="120" t="s">
        <v>1976</v>
      </c>
      <c r="M70" s="121" t="s">
        <v>742</v>
      </c>
      <c r="N70" s="122">
        <v>7.832725E7</v>
      </c>
      <c r="O70" s="123" t="s">
        <v>744</v>
      </c>
      <c r="P70" s="122">
        <v>8419703.0</v>
      </c>
      <c r="S70" s="128" t="s">
        <v>2026</v>
      </c>
    </row>
    <row r="71">
      <c r="A71" s="112">
        <v>1.0</v>
      </c>
      <c r="B71" s="120" t="s">
        <v>1982</v>
      </c>
      <c r="C71" s="135" t="s">
        <v>714</v>
      </c>
      <c r="D71" s="136" t="s">
        <v>715</v>
      </c>
      <c r="E71" s="137" t="s">
        <v>716</v>
      </c>
      <c r="F71" s="138" t="s">
        <v>238</v>
      </c>
      <c r="G71" s="139">
        <v>6.338843E7</v>
      </c>
      <c r="H71" s="136" t="s">
        <v>718</v>
      </c>
      <c r="I71" s="99"/>
      <c r="K71" s="112">
        <v>1.0</v>
      </c>
      <c r="L71" s="120" t="s">
        <v>1982</v>
      </c>
      <c r="M71" s="129" t="s">
        <v>745</v>
      </c>
      <c r="N71" s="130" t="s">
        <v>746</v>
      </c>
      <c r="O71" s="144" t="s">
        <v>747</v>
      </c>
      <c r="P71" s="146" t="s">
        <v>238</v>
      </c>
      <c r="Q71" s="133">
        <v>6.9537742E7</v>
      </c>
      <c r="R71" s="130" t="s">
        <v>749</v>
      </c>
    </row>
    <row r="72">
      <c r="A72" s="112">
        <v>2.0</v>
      </c>
      <c r="B72" s="120" t="s">
        <v>1984</v>
      </c>
      <c r="C72" s="135" t="s">
        <v>711</v>
      </c>
      <c r="D72" s="136" t="s">
        <v>719</v>
      </c>
      <c r="E72" s="137" t="s">
        <v>720</v>
      </c>
      <c r="F72" s="138" t="s">
        <v>238</v>
      </c>
      <c r="G72" s="139">
        <v>7.5161424E7</v>
      </c>
      <c r="H72" s="136" t="s">
        <v>713</v>
      </c>
      <c r="I72" s="99"/>
      <c r="K72" s="112">
        <v>2.0</v>
      </c>
      <c r="L72" s="120" t="s">
        <v>1984</v>
      </c>
      <c r="M72" s="129" t="s">
        <v>750</v>
      </c>
      <c r="N72" s="130" t="s">
        <v>751</v>
      </c>
      <c r="O72" s="137" t="s">
        <v>752</v>
      </c>
      <c r="P72" s="138" t="s">
        <v>238</v>
      </c>
      <c r="Q72" s="133">
        <v>6.3843505E7</v>
      </c>
      <c r="R72" s="130" t="s">
        <v>754</v>
      </c>
    </row>
    <row r="73">
      <c r="A73" s="112">
        <v>3.0</v>
      </c>
      <c r="B73" s="120" t="s">
        <v>1985</v>
      </c>
      <c r="C73" s="135" t="s">
        <v>723</v>
      </c>
      <c r="D73" s="136" t="s">
        <v>724</v>
      </c>
      <c r="E73" s="144" t="s">
        <v>725</v>
      </c>
      <c r="F73" s="132" t="s">
        <v>225</v>
      </c>
      <c r="G73" s="139">
        <v>6.7672302E7</v>
      </c>
      <c r="H73" s="136" t="s">
        <v>727</v>
      </c>
      <c r="I73" s="99"/>
      <c r="K73" s="112">
        <v>3.0</v>
      </c>
      <c r="L73" s="120" t="s">
        <v>1985</v>
      </c>
      <c r="M73" s="129" t="s">
        <v>755</v>
      </c>
      <c r="N73" s="130" t="s">
        <v>756</v>
      </c>
      <c r="O73" s="144" t="s">
        <v>757</v>
      </c>
      <c r="P73" s="146" t="s">
        <v>238</v>
      </c>
      <c r="Q73" s="133">
        <v>6.2722729E7</v>
      </c>
      <c r="R73" s="130" t="s">
        <v>759</v>
      </c>
      <c r="S73" s="97"/>
    </row>
    <row r="74">
      <c r="A74" s="112">
        <v>4.0</v>
      </c>
      <c r="B74" s="120" t="s">
        <v>1986</v>
      </c>
      <c r="C74" s="135" t="s">
        <v>728</v>
      </c>
      <c r="D74" s="136" t="s">
        <v>729</v>
      </c>
      <c r="E74" s="144" t="s">
        <v>730</v>
      </c>
      <c r="F74" s="132" t="s">
        <v>225</v>
      </c>
      <c r="G74" s="139">
        <v>6.7399204E7</v>
      </c>
      <c r="H74" s="136" t="s">
        <v>731</v>
      </c>
      <c r="I74" s="99"/>
      <c r="K74" s="112">
        <v>4.0</v>
      </c>
      <c r="L74" s="120" t="s">
        <v>1986</v>
      </c>
      <c r="M74" s="129" t="s">
        <v>760</v>
      </c>
      <c r="N74" s="130" t="s">
        <v>761</v>
      </c>
      <c r="O74" s="163" t="s">
        <v>762</v>
      </c>
      <c r="P74" s="132" t="s">
        <v>238</v>
      </c>
      <c r="Q74" s="133">
        <v>7.832725E7</v>
      </c>
      <c r="R74" s="130" t="s">
        <v>744</v>
      </c>
      <c r="S74" s="97"/>
    </row>
    <row r="75">
      <c r="A75" s="112">
        <v>5.0</v>
      </c>
      <c r="B75" s="120" t="s">
        <v>1988</v>
      </c>
      <c r="C75" s="135" t="s">
        <v>732</v>
      </c>
      <c r="D75" s="202" t="s">
        <v>2081</v>
      </c>
      <c r="E75" s="203" t="s">
        <v>2082</v>
      </c>
      <c r="F75" s="132" t="s">
        <v>238</v>
      </c>
      <c r="G75" s="139">
        <v>7.6832836E7</v>
      </c>
      <c r="H75" s="136" t="s">
        <v>736</v>
      </c>
      <c r="I75" s="99"/>
      <c r="K75" s="112">
        <v>5.0</v>
      </c>
      <c r="L75" s="120" t="s">
        <v>1988</v>
      </c>
      <c r="M75" s="129" t="s">
        <v>764</v>
      </c>
      <c r="N75" s="130" t="s">
        <v>765</v>
      </c>
      <c r="O75" s="144" t="s">
        <v>766</v>
      </c>
      <c r="P75" s="132" t="s">
        <v>238</v>
      </c>
      <c r="Q75" s="133">
        <v>7.2764543E7</v>
      </c>
      <c r="R75" s="130" t="s">
        <v>768</v>
      </c>
    </row>
    <row r="76">
      <c r="A76" s="112" t="s">
        <v>1989</v>
      </c>
      <c r="B76" s="120" t="s">
        <v>2083</v>
      </c>
      <c r="C76" s="204" t="s">
        <v>2084</v>
      </c>
      <c r="D76" s="152" t="s">
        <v>2085</v>
      </c>
      <c r="E76" s="184" t="s">
        <v>738</v>
      </c>
      <c r="G76" s="150"/>
      <c r="H76" s="150"/>
      <c r="I76" s="99"/>
      <c r="K76" s="112" t="s">
        <v>1989</v>
      </c>
      <c r="L76" s="120" t="s">
        <v>2064</v>
      </c>
      <c r="M76" s="204" t="s">
        <v>2086</v>
      </c>
      <c r="N76" s="152" t="s">
        <v>2087</v>
      </c>
      <c r="O76" s="199" t="s">
        <v>770</v>
      </c>
      <c r="Q76" s="152">
        <v>7.6497593E7</v>
      </c>
      <c r="R76" s="152" t="s">
        <v>2088</v>
      </c>
    </row>
    <row r="77">
      <c r="A77" s="112" t="s">
        <v>1995</v>
      </c>
      <c r="B77" s="120" t="s">
        <v>2055</v>
      </c>
      <c r="C77" s="152" t="s">
        <v>2089</v>
      </c>
      <c r="D77" s="152" t="s">
        <v>2090</v>
      </c>
      <c r="E77" s="155" t="s">
        <v>2091</v>
      </c>
      <c r="G77" s="152">
        <v>6.9324143E7</v>
      </c>
      <c r="H77" s="152" t="s">
        <v>2092</v>
      </c>
      <c r="I77" s="99"/>
      <c r="K77" s="112" t="s">
        <v>1995</v>
      </c>
      <c r="L77" s="120" t="s">
        <v>2021</v>
      </c>
      <c r="M77" s="152" t="s">
        <v>2093</v>
      </c>
      <c r="N77" s="152" t="s">
        <v>2094</v>
      </c>
      <c r="Q77" s="152">
        <v>7.5967535E7</v>
      </c>
      <c r="R77" s="152" t="s">
        <v>2095</v>
      </c>
    </row>
    <row r="78">
      <c r="A78" s="113"/>
      <c r="B78" s="154"/>
      <c r="I78" s="99"/>
      <c r="K78" s="113"/>
      <c r="L78" s="120" t="s">
        <v>2096</v>
      </c>
      <c r="M78" s="152" t="s">
        <v>2097</v>
      </c>
      <c r="N78" s="152" t="s">
        <v>2098</v>
      </c>
      <c r="Q78" s="167">
        <f>12679183992</f>
        <v>12679183992</v>
      </c>
      <c r="R78" s="152" t="s">
        <v>2099</v>
      </c>
    </row>
    <row r="79">
      <c r="A79" s="113"/>
      <c r="B79" s="154"/>
      <c r="E79" s="205"/>
      <c r="I79" s="99"/>
      <c r="K79" s="113"/>
      <c r="L79" s="154"/>
    </row>
    <row r="80">
      <c r="A80" s="114">
        <v>15.0</v>
      </c>
      <c r="B80" s="200" t="s">
        <v>771</v>
      </c>
      <c r="C80" s="119" t="s">
        <v>772</v>
      </c>
      <c r="D80" s="117"/>
      <c r="E80" s="117"/>
      <c r="F80" s="117"/>
      <c r="G80" s="117"/>
      <c r="H80" s="117"/>
      <c r="I80" s="118"/>
      <c r="J80" s="117"/>
      <c r="K80" s="114">
        <v>16.0</v>
      </c>
      <c r="L80" s="201" t="s">
        <v>804</v>
      </c>
      <c r="M80" s="116" t="s">
        <v>805</v>
      </c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7"/>
      <c r="AL80" s="117"/>
      <c r="AM80" s="117"/>
      <c r="AN80" s="117"/>
      <c r="AO80" s="117"/>
      <c r="AP80" s="117"/>
      <c r="AQ80" s="117"/>
      <c r="AR80" s="117"/>
      <c r="AS80" s="117"/>
      <c r="AT80" s="117"/>
      <c r="AU80" s="117"/>
      <c r="AV80" s="117"/>
      <c r="AW80" s="117"/>
      <c r="AX80" s="117"/>
      <c r="AY80" s="117"/>
      <c r="AZ80" s="117"/>
      <c r="BA80" s="117"/>
      <c r="BB80" s="117"/>
      <c r="BC80" s="113"/>
      <c r="BD80" s="113"/>
      <c r="BE80" s="113"/>
    </row>
    <row r="81">
      <c r="A81" s="113"/>
      <c r="B81" s="120" t="s">
        <v>1976</v>
      </c>
      <c r="C81" s="160" t="s">
        <v>774</v>
      </c>
      <c r="D81" s="126">
        <v>6.0857858E7</v>
      </c>
      <c r="E81" s="161" t="s">
        <v>776</v>
      </c>
      <c r="F81" s="126">
        <v>9830153.0</v>
      </c>
      <c r="I81" s="124" t="s">
        <v>2026</v>
      </c>
      <c r="K81" s="113"/>
      <c r="L81" s="120" t="s">
        <v>1976</v>
      </c>
      <c r="M81" s="121" t="s">
        <v>808</v>
      </c>
      <c r="N81" s="122">
        <v>7.8719753E7</v>
      </c>
      <c r="O81" s="123" t="s">
        <v>810</v>
      </c>
      <c r="P81" s="122">
        <v>8552558.0</v>
      </c>
      <c r="S81" s="175" t="s">
        <v>2026</v>
      </c>
    </row>
    <row r="82">
      <c r="A82" s="112">
        <v>1.0</v>
      </c>
      <c r="B82" s="120" t="s">
        <v>1982</v>
      </c>
      <c r="C82" s="135" t="s">
        <v>774</v>
      </c>
      <c r="D82" s="136" t="s">
        <v>778</v>
      </c>
      <c r="E82" s="163" t="s">
        <v>779</v>
      </c>
      <c r="F82" s="192" t="s">
        <v>238</v>
      </c>
      <c r="G82" s="139">
        <v>6.0857858E7</v>
      </c>
      <c r="H82" s="136" t="s">
        <v>781</v>
      </c>
      <c r="I82" s="99"/>
      <c r="K82" s="112">
        <v>1.0</v>
      </c>
      <c r="L82" s="120" t="s">
        <v>1982</v>
      </c>
      <c r="M82" s="129" t="s">
        <v>811</v>
      </c>
      <c r="N82" s="130" t="s">
        <v>812</v>
      </c>
      <c r="O82" s="144" t="s">
        <v>813</v>
      </c>
      <c r="P82" s="132" t="s">
        <v>238</v>
      </c>
      <c r="Q82" s="133">
        <v>7.3010288E7</v>
      </c>
      <c r="R82" s="130" t="s">
        <v>815</v>
      </c>
    </row>
    <row r="83">
      <c r="A83" s="112">
        <v>2.0</v>
      </c>
      <c r="B83" s="120" t="s">
        <v>1984</v>
      </c>
      <c r="C83" s="135" t="s">
        <v>782</v>
      </c>
      <c r="D83" s="136" t="s">
        <v>783</v>
      </c>
      <c r="E83" s="131" t="s">
        <v>784</v>
      </c>
      <c r="F83" s="132" t="s">
        <v>225</v>
      </c>
      <c r="G83" s="139">
        <v>7.5500233E7</v>
      </c>
      <c r="H83" s="136" t="s">
        <v>786</v>
      </c>
      <c r="I83" s="99"/>
      <c r="K83" s="112">
        <v>2.0</v>
      </c>
      <c r="L83" s="120" t="s">
        <v>1984</v>
      </c>
      <c r="M83" s="129" t="s">
        <v>816</v>
      </c>
      <c r="N83" s="130" t="s">
        <v>817</v>
      </c>
      <c r="O83" s="144" t="s">
        <v>818</v>
      </c>
      <c r="P83" s="206" t="s">
        <v>238</v>
      </c>
      <c r="Q83" s="133">
        <v>7.8732089E7</v>
      </c>
      <c r="R83" s="130" t="s">
        <v>820</v>
      </c>
    </row>
    <row r="84">
      <c r="A84" s="112">
        <v>3.0</v>
      </c>
      <c r="B84" s="120" t="s">
        <v>1985</v>
      </c>
      <c r="C84" s="135" t="s">
        <v>787</v>
      </c>
      <c r="D84" s="136" t="s">
        <v>788</v>
      </c>
      <c r="E84" s="137" t="s">
        <v>789</v>
      </c>
      <c r="F84" s="138" t="s">
        <v>238</v>
      </c>
      <c r="G84" s="139">
        <v>7.8577839E7</v>
      </c>
      <c r="H84" s="136" t="s">
        <v>791</v>
      </c>
      <c r="I84" s="99"/>
      <c r="K84" s="112">
        <v>3.0</v>
      </c>
      <c r="L84" s="120" t="s">
        <v>1985</v>
      </c>
      <c r="M84" s="129" t="s">
        <v>821</v>
      </c>
      <c r="N84" s="130" t="s">
        <v>822</v>
      </c>
      <c r="O84" s="131" t="s">
        <v>823</v>
      </c>
      <c r="P84" s="189" t="s">
        <v>238</v>
      </c>
      <c r="Q84" s="133">
        <v>6.8373806E7</v>
      </c>
      <c r="R84" s="130" t="s">
        <v>825</v>
      </c>
    </row>
    <row r="85">
      <c r="A85" s="112">
        <v>4.0</v>
      </c>
      <c r="B85" s="120" t="s">
        <v>1986</v>
      </c>
      <c r="C85" s="135" t="s">
        <v>792</v>
      </c>
      <c r="D85" s="136" t="s">
        <v>793</v>
      </c>
      <c r="E85" s="163" t="s">
        <v>794</v>
      </c>
      <c r="F85" s="192" t="s">
        <v>238</v>
      </c>
      <c r="G85" s="139">
        <v>7.080136E7</v>
      </c>
      <c r="H85" s="136" t="s">
        <v>796</v>
      </c>
      <c r="I85" s="99"/>
      <c r="K85" s="112">
        <v>4.0</v>
      </c>
      <c r="L85" s="120" t="s">
        <v>1986</v>
      </c>
      <c r="M85" s="129" t="s">
        <v>827</v>
      </c>
      <c r="N85" s="130" t="s">
        <v>828</v>
      </c>
      <c r="O85" s="163" t="s">
        <v>829</v>
      </c>
      <c r="P85" s="192" t="s">
        <v>238</v>
      </c>
      <c r="Q85" s="133">
        <v>7.8719753E7</v>
      </c>
      <c r="R85" s="130" t="s">
        <v>831</v>
      </c>
    </row>
    <row r="86">
      <c r="A86" s="112">
        <v>5.0</v>
      </c>
      <c r="B86" s="120" t="s">
        <v>1988</v>
      </c>
      <c r="C86" s="135" t="s">
        <v>798</v>
      </c>
      <c r="D86" s="136" t="s">
        <v>799</v>
      </c>
      <c r="E86" s="137" t="s">
        <v>800</v>
      </c>
      <c r="F86" s="138" t="s">
        <v>238</v>
      </c>
      <c r="G86" s="139">
        <v>6.4468136E7</v>
      </c>
      <c r="H86" s="136" t="s">
        <v>801</v>
      </c>
      <c r="I86" s="99"/>
      <c r="K86" s="112">
        <v>5.0</v>
      </c>
      <c r="L86" s="120" t="s">
        <v>1988</v>
      </c>
      <c r="M86" s="129" t="s">
        <v>832</v>
      </c>
      <c r="N86" s="130" t="s">
        <v>833</v>
      </c>
      <c r="O86" s="144" t="s">
        <v>834</v>
      </c>
      <c r="P86" s="132" t="s">
        <v>238</v>
      </c>
      <c r="Q86" s="133">
        <v>7.0460411E7</v>
      </c>
      <c r="R86" s="130" t="s">
        <v>836</v>
      </c>
    </row>
    <row r="87">
      <c r="A87" s="112" t="s">
        <v>1989</v>
      </c>
      <c r="B87" s="120" t="s">
        <v>2055</v>
      </c>
      <c r="C87" s="181" t="s">
        <v>2100</v>
      </c>
      <c r="D87" s="152" t="s">
        <v>2101</v>
      </c>
      <c r="E87" s="187" t="s">
        <v>2102</v>
      </c>
      <c r="F87" s="152" t="s">
        <v>2103</v>
      </c>
      <c r="G87" s="150"/>
      <c r="H87" s="150"/>
      <c r="I87" s="99"/>
      <c r="K87" s="112" t="s">
        <v>1989</v>
      </c>
      <c r="L87" s="207" t="s">
        <v>2104</v>
      </c>
      <c r="M87" s="208" t="s">
        <v>2105</v>
      </c>
      <c r="N87" s="152" t="s">
        <v>2106</v>
      </c>
      <c r="O87" s="199" t="s">
        <v>838</v>
      </c>
      <c r="Q87" s="150"/>
      <c r="R87" s="150"/>
    </row>
    <row r="88">
      <c r="A88" s="112" t="s">
        <v>1995</v>
      </c>
      <c r="B88" s="120" t="s">
        <v>2064</v>
      </c>
      <c r="C88" s="152" t="s">
        <v>2107</v>
      </c>
      <c r="D88" s="152" t="s">
        <v>2108</v>
      </c>
      <c r="E88" s="155" t="s">
        <v>2109</v>
      </c>
      <c r="F88" s="152" t="s">
        <v>2103</v>
      </c>
      <c r="G88" s="150"/>
      <c r="H88" s="150"/>
      <c r="I88" s="99"/>
      <c r="K88" s="112" t="s">
        <v>1995</v>
      </c>
      <c r="L88" s="154"/>
    </row>
    <row r="89">
      <c r="A89" s="112" t="s">
        <v>2044</v>
      </c>
      <c r="B89" s="120" t="s">
        <v>2055</v>
      </c>
      <c r="C89" s="152" t="s">
        <v>2110</v>
      </c>
      <c r="D89" s="152" t="s">
        <v>2111</v>
      </c>
      <c r="E89" s="155" t="s">
        <v>2112</v>
      </c>
      <c r="F89" s="152" t="s">
        <v>2103</v>
      </c>
      <c r="G89" s="150"/>
      <c r="H89" s="150"/>
      <c r="I89" s="99"/>
      <c r="K89" s="113"/>
      <c r="L89" s="154"/>
    </row>
    <row r="90">
      <c r="A90" s="113"/>
      <c r="B90" s="154"/>
      <c r="I90" s="99"/>
      <c r="K90" s="113"/>
      <c r="L90" s="154"/>
    </row>
    <row r="91">
      <c r="A91" s="114">
        <v>17.0</v>
      </c>
      <c r="B91" s="201" t="s">
        <v>873</v>
      </c>
      <c r="C91" s="116" t="s">
        <v>874</v>
      </c>
      <c r="D91" s="117"/>
      <c r="E91" s="117"/>
      <c r="F91" s="117"/>
      <c r="G91" s="117"/>
      <c r="H91" s="117"/>
      <c r="I91" s="118"/>
      <c r="J91" s="117"/>
      <c r="K91" s="114">
        <v>18.0</v>
      </c>
      <c r="L91" s="201" t="s">
        <v>935</v>
      </c>
      <c r="M91" s="116" t="s">
        <v>936</v>
      </c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  <c r="AF91" s="117"/>
      <c r="AG91" s="117"/>
      <c r="AH91" s="117"/>
      <c r="AI91" s="117"/>
      <c r="AJ91" s="117"/>
      <c r="AK91" s="117"/>
      <c r="AL91" s="117"/>
      <c r="AM91" s="117"/>
      <c r="AN91" s="117"/>
      <c r="AO91" s="117"/>
      <c r="AP91" s="117"/>
      <c r="AQ91" s="117"/>
      <c r="AR91" s="117"/>
      <c r="AS91" s="117"/>
      <c r="AT91" s="117"/>
      <c r="AU91" s="117"/>
      <c r="AV91" s="117"/>
      <c r="AW91" s="117"/>
      <c r="AX91" s="117"/>
      <c r="AY91" s="117"/>
      <c r="AZ91" s="117"/>
      <c r="BA91" s="117"/>
      <c r="BB91" s="117"/>
      <c r="BC91" s="113"/>
      <c r="BD91" s="113"/>
      <c r="BE91" s="113"/>
    </row>
    <row r="92">
      <c r="A92" s="113"/>
      <c r="B92" s="120" t="s">
        <v>1976</v>
      </c>
      <c r="C92" s="121" t="s">
        <v>877</v>
      </c>
      <c r="D92" s="122">
        <v>7.7939107E7</v>
      </c>
      <c r="E92" s="123" t="s">
        <v>879</v>
      </c>
      <c r="F92" s="122">
        <v>8813217.0</v>
      </c>
      <c r="I92" s="124" t="s">
        <v>1977</v>
      </c>
      <c r="K92" s="113"/>
      <c r="L92" s="120" t="s">
        <v>1976</v>
      </c>
      <c r="M92" s="121" t="s">
        <v>939</v>
      </c>
      <c r="N92" s="122">
        <v>7.5966684E7</v>
      </c>
      <c r="O92" s="123" t="s">
        <v>941</v>
      </c>
      <c r="P92" s="122">
        <v>1.3097176E7</v>
      </c>
      <c r="S92" s="209" t="s">
        <v>1981</v>
      </c>
    </row>
    <row r="93">
      <c r="A93" s="112">
        <v>1.0</v>
      </c>
      <c r="B93" s="120" t="s">
        <v>1982</v>
      </c>
      <c r="C93" s="152" t="s">
        <v>2113</v>
      </c>
      <c r="D93" s="152" t="s">
        <v>2114</v>
      </c>
      <c r="G93" s="150"/>
      <c r="H93" s="150"/>
      <c r="I93" s="134" t="s">
        <v>2115</v>
      </c>
      <c r="K93" s="112">
        <v>1.0</v>
      </c>
      <c r="L93" s="120" t="s">
        <v>1982</v>
      </c>
      <c r="M93" s="129" t="s">
        <v>942</v>
      </c>
      <c r="N93" s="130" t="s">
        <v>943</v>
      </c>
      <c r="O93" s="137" t="s">
        <v>944</v>
      </c>
      <c r="P93" s="138" t="s">
        <v>238</v>
      </c>
      <c r="Q93" s="133">
        <v>6.3738496E7</v>
      </c>
      <c r="R93" s="130" t="s">
        <v>946</v>
      </c>
    </row>
    <row r="94">
      <c r="A94" s="112">
        <v>2.0</v>
      </c>
      <c r="B94" s="120" t="s">
        <v>1984</v>
      </c>
      <c r="C94" s="129" t="s">
        <v>885</v>
      </c>
      <c r="D94" s="130" t="s">
        <v>886</v>
      </c>
      <c r="E94" s="137" t="s">
        <v>887</v>
      </c>
      <c r="F94" s="138" t="s">
        <v>238</v>
      </c>
      <c r="G94" s="133">
        <v>7.7939107E7</v>
      </c>
      <c r="H94" s="130" t="s">
        <v>879</v>
      </c>
      <c r="I94" s="99"/>
      <c r="K94" s="112">
        <v>2.0</v>
      </c>
      <c r="L94" s="120" t="s">
        <v>1984</v>
      </c>
      <c r="M94" s="129" t="s">
        <v>948</v>
      </c>
      <c r="N94" s="130" t="s">
        <v>949</v>
      </c>
      <c r="O94" s="144" t="s">
        <v>950</v>
      </c>
      <c r="P94" s="132" t="s">
        <v>225</v>
      </c>
      <c r="Q94" s="133">
        <v>6.9761067E7</v>
      </c>
      <c r="R94" s="130" t="s">
        <v>952</v>
      </c>
    </row>
    <row r="95">
      <c r="A95" s="112">
        <v>3.0</v>
      </c>
      <c r="B95" s="120" t="s">
        <v>1985</v>
      </c>
      <c r="C95" s="129" t="s">
        <v>889</v>
      </c>
      <c r="D95" s="130" t="s">
        <v>890</v>
      </c>
      <c r="E95" s="144" t="s">
        <v>891</v>
      </c>
      <c r="F95" s="132" t="s">
        <v>225</v>
      </c>
      <c r="G95" s="133">
        <v>7.8853672E7</v>
      </c>
      <c r="H95" s="210"/>
      <c r="I95" s="99"/>
      <c r="K95" s="112">
        <v>3.0</v>
      </c>
      <c r="L95" s="120" t="s">
        <v>1985</v>
      </c>
      <c r="M95" s="129" t="s">
        <v>939</v>
      </c>
      <c r="N95" s="130" t="s">
        <v>953</v>
      </c>
      <c r="O95" s="144" t="s">
        <v>954</v>
      </c>
      <c r="P95" s="132" t="s">
        <v>225</v>
      </c>
      <c r="Q95" s="133">
        <v>7.5966684E7</v>
      </c>
      <c r="R95" s="130" t="s">
        <v>956</v>
      </c>
    </row>
    <row r="96">
      <c r="A96" s="112">
        <v>4.0</v>
      </c>
      <c r="B96" s="120" t="s">
        <v>1986</v>
      </c>
      <c r="C96" s="129" t="s">
        <v>892</v>
      </c>
      <c r="D96" s="130" t="s">
        <v>893</v>
      </c>
      <c r="E96" s="144" t="s">
        <v>894</v>
      </c>
      <c r="F96" s="132" t="s">
        <v>225</v>
      </c>
      <c r="G96" s="133">
        <v>7.7794865E7</v>
      </c>
      <c r="H96" s="130" t="s">
        <v>896</v>
      </c>
      <c r="I96" s="99"/>
      <c r="K96" s="112">
        <v>4.0</v>
      </c>
      <c r="L96" s="120" t="s">
        <v>1986</v>
      </c>
      <c r="M96" s="129" t="s">
        <v>957</v>
      </c>
      <c r="N96" s="130" t="s">
        <v>958</v>
      </c>
      <c r="O96" s="144" t="s">
        <v>959</v>
      </c>
      <c r="P96" s="146" t="s">
        <v>238</v>
      </c>
      <c r="Q96" s="133">
        <v>7.7633144E7</v>
      </c>
      <c r="R96" s="130" t="s">
        <v>961</v>
      </c>
    </row>
    <row r="97">
      <c r="A97" s="112">
        <v>5.0</v>
      </c>
      <c r="B97" s="120" t="s">
        <v>1988</v>
      </c>
      <c r="C97" s="129" t="s">
        <v>897</v>
      </c>
      <c r="D97" s="130" t="s">
        <v>898</v>
      </c>
      <c r="E97" s="163" t="s">
        <v>899</v>
      </c>
      <c r="F97" s="192" t="s">
        <v>238</v>
      </c>
      <c r="G97" s="133">
        <v>7.5997499E7</v>
      </c>
      <c r="H97" s="130" t="s">
        <v>900</v>
      </c>
      <c r="I97" s="99"/>
      <c r="K97" s="112">
        <v>5.0</v>
      </c>
      <c r="L97" s="120" t="s">
        <v>1988</v>
      </c>
      <c r="M97" s="129" t="s">
        <v>962</v>
      </c>
      <c r="N97" s="130" t="s">
        <v>963</v>
      </c>
      <c r="O97" s="144" t="s">
        <v>964</v>
      </c>
      <c r="P97" s="132" t="s">
        <v>225</v>
      </c>
      <c r="Q97" s="133">
        <v>6.753655E7</v>
      </c>
      <c r="R97" s="130" t="s">
        <v>966</v>
      </c>
    </row>
    <row r="98">
      <c r="A98" s="112" t="s">
        <v>1989</v>
      </c>
      <c r="B98" s="120" t="s">
        <v>1990</v>
      </c>
      <c r="C98" s="211" t="s">
        <v>880</v>
      </c>
      <c r="D98" s="212" t="s">
        <v>2116</v>
      </c>
      <c r="E98" s="131" t="s">
        <v>882</v>
      </c>
      <c r="F98" s="213" t="s">
        <v>225</v>
      </c>
      <c r="G98" s="133">
        <v>7.6702738E7</v>
      </c>
      <c r="H98" s="130" t="s">
        <v>884</v>
      </c>
      <c r="I98" s="99"/>
      <c r="K98" s="112" t="s">
        <v>1989</v>
      </c>
      <c r="L98" s="120" t="s">
        <v>2055</v>
      </c>
      <c r="M98" s="208" t="s">
        <v>2117</v>
      </c>
      <c r="N98" s="152" t="s">
        <v>2118</v>
      </c>
      <c r="O98" s="214" t="s">
        <v>2119</v>
      </c>
      <c r="Q98" s="150"/>
      <c r="R98" s="150"/>
    </row>
    <row r="99">
      <c r="A99" s="112" t="s">
        <v>1995</v>
      </c>
      <c r="B99" s="154"/>
      <c r="C99" s="152" t="s">
        <v>2120</v>
      </c>
      <c r="D99" s="152" t="s">
        <v>2121</v>
      </c>
      <c r="G99" s="152">
        <v>6.2827369E7</v>
      </c>
      <c r="H99" s="152" t="s">
        <v>2122</v>
      </c>
      <c r="I99" s="99"/>
      <c r="K99" s="112" t="s">
        <v>1995</v>
      </c>
      <c r="L99" s="120" t="s">
        <v>2019</v>
      </c>
      <c r="M99" s="171" t="s">
        <v>2123</v>
      </c>
      <c r="N99" s="152" t="s">
        <v>2124</v>
      </c>
      <c r="O99" s="155" t="s">
        <v>2125</v>
      </c>
      <c r="Q99" s="150"/>
      <c r="R99" s="150"/>
    </row>
    <row r="100">
      <c r="A100" s="113"/>
      <c r="B100" s="154"/>
      <c r="I100" s="99"/>
      <c r="K100" s="113"/>
      <c r="L100" s="154"/>
    </row>
    <row r="101">
      <c r="A101" s="113"/>
      <c r="B101" s="154"/>
      <c r="I101" s="99"/>
      <c r="K101" s="113"/>
      <c r="L101" s="154"/>
    </row>
    <row r="102">
      <c r="A102" s="114">
        <v>19.0</v>
      </c>
      <c r="B102" s="200" t="s">
        <v>969</v>
      </c>
      <c r="C102" s="119" t="s">
        <v>970</v>
      </c>
      <c r="D102" s="117"/>
      <c r="E102" s="117"/>
      <c r="F102" s="117"/>
      <c r="G102" s="117"/>
      <c r="H102" s="117"/>
      <c r="I102" s="118"/>
      <c r="J102" s="117"/>
      <c r="K102" s="114">
        <v>20.0</v>
      </c>
      <c r="L102" s="201" t="s">
        <v>999</v>
      </c>
      <c r="M102" s="116" t="s">
        <v>1000</v>
      </c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7"/>
      <c r="AH102" s="117"/>
      <c r="AI102" s="117"/>
      <c r="AJ102" s="117"/>
      <c r="AK102" s="117"/>
      <c r="AL102" s="117"/>
      <c r="AM102" s="117"/>
      <c r="AN102" s="117"/>
      <c r="AO102" s="117"/>
      <c r="AP102" s="117"/>
      <c r="AQ102" s="117"/>
      <c r="AR102" s="117"/>
      <c r="AS102" s="117"/>
      <c r="AT102" s="117"/>
      <c r="AU102" s="117"/>
      <c r="AV102" s="117"/>
      <c r="AW102" s="117"/>
      <c r="AX102" s="117"/>
      <c r="AY102" s="117"/>
      <c r="AZ102" s="117"/>
      <c r="BA102" s="117"/>
      <c r="BB102" s="117"/>
      <c r="BC102" s="113"/>
      <c r="BD102" s="113"/>
      <c r="BE102" s="113"/>
    </row>
    <row r="103">
      <c r="A103" s="113"/>
      <c r="B103" s="120" t="s">
        <v>1976</v>
      </c>
      <c r="C103" s="160" t="s">
        <v>973</v>
      </c>
      <c r="D103" s="126">
        <v>7.5276873E7</v>
      </c>
      <c r="E103" s="161" t="s">
        <v>975</v>
      </c>
      <c r="F103" s="126">
        <v>7099385.0</v>
      </c>
      <c r="I103" s="172" t="s">
        <v>1981</v>
      </c>
      <c r="K103" s="113"/>
      <c r="L103" s="120" t="s">
        <v>1976</v>
      </c>
      <c r="M103" s="121" t="s">
        <v>1003</v>
      </c>
      <c r="N103" s="122">
        <v>6.3781374E7</v>
      </c>
      <c r="O103" s="123" t="s">
        <v>1005</v>
      </c>
      <c r="P103" s="122">
        <v>9736361.0</v>
      </c>
      <c r="S103" s="209" t="s">
        <v>1981</v>
      </c>
    </row>
    <row r="104">
      <c r="A104" s="112">
        <v>1.0</v>
      </c>
      <c r="B104" s="120" t="s">
        <v>1982</v>
      </c>
      <c r="C104" s="135" t="s">
        <v>976</v>
      </c>
      <c r="D104" s="136" t="s">
        <v>977</v>
      </c>
      <c r="E104" s="137" t="s">
        <v>978</v>
      </c>
      <c r="F104" s="138" t="s">
        <v>238</v>
      </c>
      <c r="G104" s="139">
        <v>7.3048045E7</v>
      </c>
      <c r="H104" s="136" t="s">
        <v>980</v>
      </c>
      <c r="I104" s="99"/>
      <c r="K104" s="112">
        <v>1.0</v>
      </c>
      <c r="L104" s="120" t="s">
        <v>1982</v>
      </c>
      <c r="M104" s="129" t="s">
        <v>1003</v>
      </c>
      <c r="N104" s="130" t="s">
        <v>1006</v>
      </c>
      <c r="O104" s="137" t="s">
        <v>1007</v>
      </c>
      <c r="P104" s="138" t="s">
        <v>238</v>
      </c>
      <c r="Q104" s="133">
        <v>6.3781374E7</v>
      </c>
      <c r="R104" s="130" t="s">
        <v>1009</v>
      </c>
    </row>
    <row r="105">
      <c r="A105" s="112">
        <v>2.0</v>
      </c>
      <c r="B105" s="120" t="s">
        <v>1984</v>
      </c>
      <c r="C105" s="135" t="s">
        <v>981</v>
      </c>
      <c r="D105" s="136" t="s">
        <v>982</v>
      </c>
      <c r="E105" s="137" t="s">
        <v>983</v>
      </c>
      <c r="F105" s="132" t="s">
        <v>238</v>
      </c>
      <c r="G105" s="139">
        <v>6.7135813E7</v>
      </c>
      <c r="H105" s="136" t="s">
        <v>985</v>
      </c>
      <c r="I105" s="99"/>
      <c r="K105" s="112">
        <v>2.0</v>
      </c>
      <c r="L105" s="120" t="s">
        <v>1984</v>
      </c>
      <c r="M105" s="129" t="s">
        <v>1010</v>
      </c>
      <c r="N105" s="130" t="s">
        <v>1011</v>
      </c>
      <c r="O105" s="144" t="s">
        <v>1012</v>
      </c>
      <c r="P105" s="146" t="s">
        <v>238</v>
      </c>
      <c r="Q105" s="133">
        <v>7.9409911E7</v>
      </c>
      <c r="R105" s="130" t="s">
        <v>1014</v>
      </c>
    </row>
    <row r="106">
      <c r="A106" s="112">
        <v>3.0</v>
      </c>
      <c r="B106" s="120" t="s">
        <v>1985</v>
      </c>
      <c r="C106" s="135" t="s">
        <v>986</v>
      </c>
      <c r="D106" s="136" t="s">
        <v>987</v>
      </c>
      <c r="E106" s="137" t="s">
        <v>988</v>
      </c>
      <c r="F106" s="138" t="s">
        <v>238</v>
      </c>
      <c r="G106" s="139">
        <v>7.7787014E7</v>
      </c>
      <c r="H106" s="136" t="s">
        <v>990</v>
      </c>
      <c r="I106" s="99"/>
      <c r="K106" s="112">
        <v>3.0</v>
      </c>
      <c r="L106" s="120" t="s">
        <v>1985</v>
      </c>
      <c r="M106" s="129" t="s">
        <v>1015</v>
      </c>
      <c r="N106" s="130" t="s">
        <v>1016</v>
      </c>
      <c r="O106" s="144" t="s">
        <v>1017</v>
      </c>
      <c r="P106" s="132" t="s">
        <v>238</v>
      </c>
      <c r="Q106" s="133">
        <v>6.9861944E7</v>
      </c>
      <c r="R106" s="130" t="s">
        <v>1019</v>
      </c>
    </row>
    <row r="107">
      <c r="A107" s="112">
        <v>4.0</v>
      </c>
      <c r="B107" s="120" t="s">
        <v>1986</v>
      </c>
      <c r="C107" s="135" t="s">
        <v>973</v>
      </c>
      <c r="D107" s="136" t="s">
        <v>991</v>
      </c>
      <c r="E107" s="137" t="s">
        <v>992</v>
      </c>
      <c r="F107" s="138" t="s">
        <v>238</v>
      </c>
      <c r="G107" s="139">
        <v>7.5276873E7</v>
      </c>
      <c r="H107" s="136" t="s">
        <v>975</v>
      </c>
      <c r="I107" s="99"/>
      <c r="K107" s="112">
        <v>4.0</v>
      </c>
      <c r="L107" s="120" t="s">
        <v>1986</v>
      </c>
      <c r="M107" s="129" t="s">
        <v>1020</v>
      </c>
      <c r="N107" s="130" t="s">
        <v>1021</v>
      </c>
      <c r="O107" s="163" t="s">
        <v>1022</v>
      </c>
      <c r="P107" s="192" t="s">
        <v>238</v>
      </c>
      <c r="Q107" s="133">
        <v>7.3812857E7</v>
      </c>
      <c r="R107" s="130" t="s">
        <v>1024</v>
      </c>
    </row>
    <row r="108">
      <c r="A108" s="112">
        <v>5.0</v>
      </c>
      <c r="B108" s="120" t="s">
        <v>1988</v>
      </c>
      <c r="C108" s="135" t="s">
        <v>993</v>
      </c>
      <c r="D108" s="136" t="s">
        <v>994</v>
      </c>
      <c r="E108" s="137" t="s">
        <v>995</v>
      </c>
      <c r="F108" s="138" t="s">
        <v>238</v>
      </c>
      <c r="G108" s="139">
        <v>7.5280749E7</v>
      </c>
      <c r="H108" s="136" t="s">
        <v>996</v>
      </c>
      <c r="I108" s="99"/>
      <c r="K108" s="112">
        <v>5.0</v>
      </c>
      <c r="L108" s="120" t="s">
        <v>1988</v>
      </c>
      <c r="M108" s="129" t="s">
        <v>1025</v>
      </c>
      <c r="N108" s="130" t="s">
        <v>1026</v>
      </c>
      <c r="O108" s="144" t="s">
        <v>1027</v>
      </c>
      <c r="P108" s="132" t="s">
        <v>238</v>
      </c>
      <c r="Q108" s="133">
        <v>6.2064038E7</v>
      </c>
      <c r="R108" s="130" t="s">
        <v>1029</v>
      </c>
    </row>
    <row r="109">
      <c r="A109" s="112" t="s">
        <v>1989</v>
      </c>
      <c r="B109" s="186" t="s">
        <v>1990</v>
      </c>
      <c r="C109" s="204" t="s">
        <v>2126</v>
      </c>
      <c r="D109" s="152" t="s">
        <v>2127</v>
      </c>
      <c r="E109" s="215" t="s">
        <v>2128</v>
      </c>
      <c r="G109" s="152">
        <v>6.0579057E7</v>
      </c>
      <c r="H109" s="150"/>
      <c r="I109" s="99"/>
      <c r="K109" s="112" t="s">
        <v>1989</v>
      </c>
      <c r="L109" s="120" t="s">
        <v>1990</v>
      </c>
    </row>
    <row r="110">
      <c r="A110" s="112" t="s">
        <v>1995</v>
      </c>
      <c r="B110" s="186" t="s">
        <v>1990</v>
      </c>
      <c r="C110" s="152" t="s">
        <v>2129</v>
      </c>
      <c r="D110" s="152" t="s">
        <v>2130</v>
      </c>
      <c r="E110" s="155" t="s">
        <v>2131</v>
      </c>
      <c r="F110" s="152" t="s">
        <v>2132</v>
      </c>
      <c r="G110" s="150"/>
      <c r="H110" s="150"/>
      <c r="I110" s="99"/>
      <c r="K110" s="112" t="s">
        <v>1995</v>
      </c>
      <c r="L110" s="154"/>
    </row>
    <row r="111">
      <c r="A111" s="113"/>
      <c r="B111" s="154"/>
      <c r="I111" s="99"/>
      <c r="K111" s="113"/>
      <c r="L111" s="154"/>
    </row>
    <row r="112">
      <c r="A112" s="113"/>
      <c r="B112" s="154"/>
      <c r="I112" s="99"/>
      <c r="K112" s="113"/>
      <c r="L112" s="154"/>
    </row>
    <row r="113">
      <c r="A113" s="114">
        <v>21.0</v>
      </c>
      <c r="B113" s="201" t="s">
        <v>1057</v>
      </c>
      <c r="C113" s="116" t="s">
        <v>1058</v>
      </c>
      <c r="D113" s="117"/>
      <c r="E113" s="117"/>
      <c r="F113" s="117"/>
      <c r="G113" s="117"/>
      <c r="H113" s="117"/>
      <c r="I113" s="118"/>
      <c r="J113" s="117"/>
      <c r="K113" s="114">
        <v>22.0</v>
      </c>
      <c r="L113" s="216" t="s">
        <v>2133</v>
      </c>
      <c r="M113" s="217" t="s">
        <v>2134</v>
      </c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7"/>
      <c r="AM113" s="117"/>
      <c r="AN113" s="117"/>
      <c r="AO113" s="117"/>
      <c r="AP113" s="117"/>
      <c r="AQ113" s="117"/>
      <c r="AR113" s="117"/>
      <c r="AS113" s="117"/>
      <c r="AT113" s="117"/>
      <c r="AU113" s="117"/>
      <c r="AV113" s="117"/>
      <c r="AW113" s="117"/>
      <c r="AX113" s="117"/>
      <c r="AY113" s="117"/>
      <c r="AZ113" s="117"/>
      <c r="BA113" s="117"/>
      <c r="BB113" s="117"/>
      <c r="BC113" s="113"/>
      <c r="BD113" s="113"/>
      <c r="BE113" s="113"/>
    </row>
    <row r="114">
      <c r="A114" s="113"/>
      <c r="B114" s="120" t="s">
        <v>1976</v>
      </c>
      <c r="C114" s="121" t="s">
        <v>1061</v>
      </c>
      <c r="D114" s="122">
        <v>6.947088E7</v>
      </c>
      <c r="E114" s="123" t="s">
        <v>1063</v>
      </c>
      <c r="F114" s="122">
        <v>9478439.0</v>
      </c>
      <c r="I114" s="172" t="s">
        <v>1981</v>
      </c>
      <c r="K114" s="113"/>
      <c r="L114" s="120" t="s">
        <v>1976</v>
      </c>
      <c r="M114" s="160" t="s">
        <v>1096</v>
      </c>
      <c r="N114" s="126">
        <v>6.8476511E7</v>
      </c>
      <c r="O114" s="161" t="s">
        <v>1098</v>
      </c>
      <c r="P114" s="126">
        <v>1.3498434E7</v>
      </c>
      <c r="S114" s="209" t="s">
        <v>1981</v>
      </c>
    </row>
    <row r="115">
      <c r="A115" s="112">
        <v>1.0</v>
      </c>
      <c r="B115" s="120" t="s">
        <v>1982</v>
      </c>
      <c r="C115" s="129" t="s">
        <v>1064</v>
      </c>
      <c r="D115" s="130" t="s">
        <v>1065</v>
      </c>
      <c r="E115" s="137" t="s">
        <v>1066</v>
      </c>
      <c r="F115" s="138" t="s">
        <v>238</v>
      </c>
      <c r="G115" s="130" t="s">
        <v>1068</v>
      </c>
      <c r="H115" s="130" t="s">
        <v>1069</v>
      </c>
      <c r="I115" s="99"/>
      <c r="K115" s="112">
        <v>1.0</v>
      </c>
      <c r="L115" s="120" t="s">
        <v>1982</v>
      </c>
      <c r="M115" s="135" t="s">
        <v>1099</v>
      </c>
      <c r="N115" s="136" t="s">
        <v>1100</v>
      </c>
      <c r="O115" s="144" t="s">
        <v>1101</v>
      </c>
      <c r="P115" s="218" t="s">
        <v>238</v>
      </c>
      <c r="Q115" s="139">
        <v>6.4102449E7</v>
      </c>
      <c r="R115" s="136" t="s">
        <v>1103</v>
      </c>
    </row>
    <row r="116">
      <c r="A116" s="112">
        <v>2.0</v>
      </c>
      <c r="B116" s="120" t="s">
        <v>1984</v>
      </c>
      <c r="C116" s="129" t="s">
        <v>1061</v>
      </c>
      <c r="D116" s="130" t="s">
        <v>1070</v>
      </c>
      <c r="E116" s="137" t="s">
        <v>1071</v>
      </c>
      <c r="F116" s="138" t="s">
        <v>238</v>
      </c>
      <c r="G116" s="133">
        <v>6.947088E7</v>
      </c>
      <c r="H116" s="130" t="s">
        <v>1073</v>
      </c>
      <c r="I116" s="99"/>
      <c r="K116" s="112">
        <v>2.0</v>
      </c>
      <c r="L116" s="120" t="s">
        <v>1984</v>
      </c>
      <c r="M116" s="135" t="s">
        <v>1104</v>
      </c>
      <c r="N116" s="136" t="s">
        <v>1105</v>
      </c>
      <c r="O116" s="137" t="s">
        <v>1106</v>
      </c>
      <c r="P116" s="138" t="s">
        <v>238</v>
      </c>
      <c r="Q116" s="139">
        <v>6.9528729E7</v>
      </c>
      <c r="R116" s="136" t="s">
        <v>1108</v>
      </c>
    </row>
    <row r="117">
      <c r="A117" s="112">
        <v>3.0</v>
      </c>
      <c r="B117" s="120" t="s">
        <v>1985</v>
      </c>
      <c r="C117" s="129" t="s">
        <v>1074</v>
      </c>
      <c r="D117" s="130" t="s">
        <v>1075</v>
      </c>
      <c r="E117" s="137" t="s">
        <v>1076</v>
      </c>
      <c r="F117" s="138" t="s">
        <v>238</v>
      </c>
      <c r="G117" s="130" t="s">
        <v>1078</v>
      </c>
      <c r="H117" s="130" t="s">
        <v>1079</v>
      </c>
      <c r="I117" s="99"/>
      <c r="K117" s="112">
        <v>3.0</v>
      </c>
      <c r="L117" s="120" t="s">
        <v>1985</v>
      </c>
      <c r="M117" s="135" t="s">
        <v>1096</v>
      </c>
      <c r="N117" s="136" t="s">
        <v>1109</v>
      </c>
      <c r="O117" s="137" t="s">
        <v>1110</v>
      </c>
      <c r="P117" s="138" t="s">
        <v>238</v>
      </c>
      <c r="Q117" s="139">
        <v>6.8476511E7</v>
      </c>
      <c r="R117" s="136" t="s">
        <v>1098</v>
      </c>
    </row>
    <row r="118">
      <c r="A118" s="112">
        <v>4.0</v>
      </c>
      <c r="B118" s="120" t="s">
        <v>1986</v>
      </c>
      <c r="C118" s="129" t="s">
        <v>1080</v>
      </c>
      <c r="D118" s="130" t="s">
        <v>1081</v>
      </c>
      <c r="E118" s="163" t="s">
        <v>1082</v>
      </c>
      <c r="F118" s="192" t="s">
        <v>238</v>
      </c>
      <c r="G118" s="130" t="s">
        <v>1084</v>
      </c>
      <c r="H118" s="130" t="s">
        <v>1085</v>
      </c>
      <c r="I118" s="99"/>
      <c r="K118" s="112">
        <v>4.0</v>
      </c>
      <c r="L118" s="120" t="s">
        <v>1986</v>
      </c>
      <c r="M118" s="135" t="s">
        <v>1112</v>
      </c>
      <c r="N118" s="136" t="s">
        <v>1113</v>
      </c>
      <c r="O118" s="144" t="s">
        <v>1114</v>
      </c>
      <c r="P118" s="146" t="s">
        <v>238</v>
      </c>
      <c r="Q118" s="139">
        <v>6.9828968E7</v>
      </c>
      <c r="R118" s="136" t="s">
        <v>1116</v>
      </c>
    </row>
    <row r="119">
      <c r="A119" s="112">
        <v>5.0</v>
      </c>
      <c r="B119" s="120" t="s">
        <v>1988</v>
      </c>
      <c r="C119" s="129" t="s">
        <v>1086</v>
      </c>
      <c r="D119" s="130" t="s">
        <v>1087</v>
      </c>
      <c r="E119" s="144" t="s">
        <v>1088</v>
      </c>
      <c r="F119" s="146" t="s">
        <v>238</v>
      </c>
      <c r="G119" s="130" t="s">
        <v>1090</v>
      </c>
      <c r="H119" s="130" t="s">
        <v>1091</v>
      </c>
      <c r="I119" s="99"/>
      <c r="K119" s="112">
        <v>5.0</v>
      </c>
      <c r="L119" s="120" t="s">
        <v>1988</v>
      </c>
      <c r="M119" s="135" t="s">
        <v>1117</v>
      </c>
      <c r="N119" s="136" t="s">
        <v>1118</v>
      </c>
      <c r="O119" s="144" t="s">
        <v>1119</v>
      </c>
      <c r="P119" s="218" t="s">
        <v>238</v>
      </c>
      <c r="Q119" s="139">
        <v>7.0109009E7</v>
      </c>
      <c r="R119" s="136" t="s">
        <v>1121</v>
      </c>
    </row>
    <row r="120">
      <c r="A120" s="112" t="s">
        <v>1989</v>
      </c>
      <c r="B120" s="120" t="s">
        <v>1990</v>
      </c>
      <c r="I120" s="99"/>
      <c r="K120" s="112" t="s">
        <v>1989</v>
      </c>
      <c r="L120" s="120" t="s">
        <v>2064</v>
      </c>
      <c r="M120" s="219" t="s">
        <v>2135</v>
      </c>
      <c r="N120" s="152" t="s">
        <v>2136</v>
      </c>
      <c r="O120" s="184" t="s">
        <v>1123</v>
      </c>
      <c r="Q120" s="152">
        <v>7.7518894E7</v>
      </c>
      <c r="R120" s="150"/>
    </row>
    <row r="121">
      <c r="A121" s="112" t="s">
        <v>1995</v>
      </c>
      <c r="B121" s="154"/>
      <c r="I121" s="99"/>
      <c r="K121" s="112" t="s">
        <v>1995</v>
      </c>
      <c r="L121" s="120" t="s">
        <v>2137</v>
      </c>
      <c r="M121" s="171" t="s">
        <v>2138</v>
      </c>
      <c r="N121" s="152" t="s">
        <v>2139</v>
      </c>
      <c r="P121" s="152" t="s">
        <v>2140</v>
      </c>
      <c r="Q121" s="171">
        <v>7.3744965E7</v>
      </c>
      <c r="R121" s="152" t="s">
        <v>2141</v>
      </c>
    </row>
    <row r="122">
      <c r="A122" s="113"/>
      <c r="B122" s="154"/>
      <c r="I122" s="99"/>
      <c r="K122" s="112" t="s">
        <v>2044</v>
      </c>
      <c r="L122" s="220"/>
      <c r="M122" s="150"/>
      <c r="N122" s="150"/>
      <c r="Q122" s="150"/>
      <c r="R122" s="150"/>
    </row>
    <row r="123">
      <c r="A123" s="113"/>
      <c r="B123" s="154"/>
      <c r="I123" s="99"/>
      <c r="K123" s="113"/>
      <c r="L123" s="154"/>
    </row>
    <row r="124">
      <c r="A124" s="114">
        <v>23.0</v>
      </c>
      <c r="B124" s="201" t="s">
        <v>1125</v>
      </c>
      <c r="C124" s="116" t="s">
        <v>1126</v>
      </c>
      <c r="D124" s="117"/>
      <c r="E124" s="117"/>
      <c r="F124" s="117"/>
      <c r="G124" s="117"/>
      <c r="H124" s="117"/>
      <c r="I124" s="118"/>
      <c r="J124" s="117"/>
      <c r="K124" s="114">
        <v>24.0</v>
      </c>
      <c r="L124" s="200" t="s">
        <v>1155</v>
      </c>
      <c r="M124" s="119" t="s">
        <v>1156</v>
      </c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7"/>
      <c r="AH124" s="117"/>
      <c r="AI124" s="117"/>
      <c r="AJ124" s="117"/>
      <c r="AK124" s="117"/>
      <c r="AL124" s="117"/>
      <c r="AM124" s="117"/>
      <c r="AN124" s="117"/>
      <c r="AO124" s="117"/>
      <c r="AP124" s="117"/>
      <c r="AQ124" s="117"/>
      <c r="AR124" s="117"/>
      <c r="AS124" s="117"/>
      <c r="AT124" s="117"/>
      <c r="AU124" s="117"/>
      <c r="AV124" s="117"/>
      <c r="AW124" s="117"/>
      <c r="AX124" s="117"/>
      <c r="AY124" s="117"/>
      <c r="AZ124" s="117"/>
      <c r="BA124" s="117"/>
      <c r="BB124" s="117"/>
      <c r="BC124" s="113"/>
      <c r="BD124" s="113"/>
      <c r="BE124" s="113"/>
    </row>
    <row r="125">
      <c r="A125" s="113"/>
      <c r="B125" s="120" t="s">
        <v>1976</v>
      </c>
      <c r="C125" s="121" t="s">
        <v>1128</v>
      </c>
      <c r="D125" s="122">
        <v>7.5999942E7</v>
      </c>
      <c r="E125" s="123" t="s">
        <v>1130</v>
      </c>
      <c r="F125" s="122">
        <v>1.3752384E7</v>
      </c>
      <c r="I125" s="124" t="s">
        <v>1977</v>
      </c>
      <c r="K125" s="113"/>
      <c r="L125" s="120" t="s">
        <v>1976</v>
      </c>
      <c r="M125" s="160" t="s">
        <v>1159</v>
      </c>
      <c r="N125" s="126">
        <v>6.9804588E7</v>
      </c>
      <c r="O125" s="221" t="s">
        <v>1161</v>
      </c>
      <c r="P125" s="126">
        <v>1.3872568E7</v>
      </c>
      <c r="S125" s="175" t="s">
        <v>1981</v>
      </c>
    </row>
    <row r="126">
      <c r="A126" s="112">
        <v>1.0</v>
      </c>
      <c r="B126" s="120" t="s">
        <v>1982</v>
      </c>
      <c r="C126" s="129" t="s">
        <v>1131</v>
      </c>
      <c r="D126" s="165" t="s">
        <v>2142</v>
      </c>
      <c r="E126" s="222" t="s">
        <v>1133</v>
      </c>
      <c r="F126" s="146" t="s">
        <v>238</v>
      </c>
      <c r="G126" s="133">
        <v>6.3889237E7</v>
      </c>
      <c r="H126" s="130" t="s">
        <v>1135</v>
      </c>
      <c r="I126" s="134" t="s">
        <v>2143</v>
      </c>
      <c r="K126" s="112">
        <v>1.0</v>
      </c>
      <c r="L126" s="120" t="s">
        <v>1982</v>
      </c>
      <c r="M126" s="135" t="s">
        <v>1162</v>
      </c>
      <c r="N126" s="136" t="s">
        <v>1163</v>
      </c>
      <c r="O126" s="144" t="s">
        <v>1164</v>
      </c>
      <c r="P126" s="132" t="s">
        <v>238</v>
      </c>
      <c r="Q126" s="139">
        <v>6.9804588E7</v>
      </c>
      <c r="R126" s="223" t="s">
        <v>2144</v>
      </c>
    </row>
    <row r="127">
      <c r="A127" s="112">
        <v>2.0</v>
      </c>
      <c r="B127" s="120" t="s">
        <v>1984</v>
      </c>
      <c r="C127" s="129" t="s">
        <v>1128</v>
      </c>
      <c r="D127" s="130" t="s">
        <v>1136</v>
      </c>
      <c r="E127" s="131" t="s">
        <v>1137</v>
      </c>
      <c r="F127" s="146" t="s">
        <v>238</v>
      </c>
      <c r="G127" s="133">
        <v>7.5999942E7</v>
      </c>
      <c r="H127" s="130" t="s">
        <v>1130</v>
      </c>
      <c r="I127" s="99"/>
      <c r="K127" s="112">
        <v>2.0</v>
      </c>
      <c r="L127" s="120" t="s">
        <v>1984</v>
      </c>
      <c r="M127" s="135" t="s">
        <v>1167</v>
      </c>
      <c r="N127" s="136" t="s">
        <v>1168</v>
      </c>
      <c r="O127" s="144" t="s">
        <v>1169</v>
      </c>
      <c r="P127" s="132" t="s">
        <v>238</v>
      </c>
      <c r="Q127" s="136" t="s">
        <v>1171</v>
      </c>
      <c r="R127" s="224" t="s">
        <v>2145</v>
      </c>
    </row>
    <row r="128">
      <c r="A128" s="112">
        <v>3.0</v>
      </c>
      <c r="B128" s="120" t="s">
        <v>1985</v>
      </c>
      <c r="C128" s="129" t="s">
        <v>1138</v>
      </c>
      <c r="D128" s="130" t="s">
        <v>1139</v>
      </c>
      <c r="E128" s="137" t="s">
        <v>1140</v>
      </c>
      <c r="F128" s="138" t="s">
        <v>238</v>
      </c>
      <c r="G128" s="133">
        <v>7.5950906E7</v>
      </c>
      <c r="H128" s="130" t="s">
        <v>1142</v>
      </c>
      <c r="I128" s="99"/>
      <c r="K128" s="112">
        <v>3.0</v>
      </c>
      <c r="L128" s="120" t="s">
        <v>1985</v>
      </c>
      <c r="M128" s="135" t="s">
        <v>1172</v>
      </c>
      <c r="N128" s="136" t="s">
        <v>1173</v>
      </c>
      <c r="O128" s="137" t="s">
        <v>1174</v>
      </c>
      <c r="P128" s="138" t="s">
        <v>238</v>
      </c>
      <c r="Q128" s="136" t="s">
        <v>1176</v>
      </c>
      <c r="R128" s="224" t="s">
        <v>2146</v>
      </c>
    </row>
    <row r="129">
      <c r="A129" s="112">
        <v>4.0</v>
      </c>
      <c r="B129" s="120" t="s">
        <v>1986</v>
      </c>
      <c r="C129" s="129" t="s">
        <v>1144</v>
      </c>
      <c r="D129" s="130" t="s">
        <v>1145</v>
      </c>
      <c r="E129" s="144" t="s">
        <v>1146</v>
      </c>
      <c r="F129" s="206" t="s">
        <v>238</v>
      </c>
      <c r="G129" s="133">
        <v>6.3954129E7</v>
      </c>
      <c r="H129" s="130" t="s">
        <v>1148</v>
      </c>
      <c r="I129" s="99"/>
      <c r="K129" s="112">
        <v>4.0</v>
      </c>
      <c r="L129" s="120" t="s">
        <v>1986</v>
      </c>
      <c r="M129" s="135" t="s">
        <v>1177</v>
      </c>
      <c r="N129" s="136" t="s">
        <v>1178</v>
      </c>
      <c r="O129" s="144" t="s">
        <v>1179</v>
      </c>
      <c r="P129" s="146" t="s">
        <v>238</v>
      </c>
      <c r="Q129" s="139">
        <v>7.4035781E7</v>
      </c>
      <c r="R129" s="224" t="s">
        <v>2147</v>
      </c>
      <c r="S129" s="97"/>
    </row>
    <row r="130">
      <c r="A130" s="112">
        <v>5.0</v>
      </c>
      <c r="B130" s="120" t="s">
        <v>1988</v>
      </c>
      <c r="C130" s="129" t="s">
        <v>1149</v>
      </c>
      <c r="D130" s="130" t="s">
        <v>1150</v>
      </c>
      <c r="E130" s="144" t="s">
        <v>1151</v>
      </c>
      <c r="F130" s="146" t="s">
        <v>238</v>
      </c>
      <c r="G130" s="133">
        <v>6.76475E7</v>
      </c>
      <c r="H130" s="130" t="s">
        <v>1153</v>
      </c>
      <c r="I130" s="99"/>
      <c r="K130" s="112">
        <v>5.0</v>
      </c>
      <c r="L130" s="120" t="s">
        <v>1988</v>
      </c>
      <c r="M130" s="135" t="s">
        <v>1180</v>
      </c>
      <c r="N130" s="136" t="s">
        <v>1181</v>
      </c>
      <c r="O130" s="144" t="s">
        <v>1182</v>
      </c>
      <c r="P130" s="146" t="s">
        <v>238</v>
      </c>
      <c r="Q130" s="136" t="s">
        <v>1184</v>
      </c>
      <c r="R130" s="224" t="s">
        <v>2148</v>
      </c>
      <c r="S130" s="97"/>
    </row>
    <row r="131">
      <c r="A131" s="112" t="s">
        <v>1989</v>
      </c>
      <c r="B131" s="186" t="s">
        <v>1990</v>
      </c>
      <c r="C131" s="181" t="s">
        <v>2149</v>
      </c>
      <c r="D131" s="152" t="s">
        <v>2150</v>
      </c>
      <c r="E131" s="150"/>
      <c r="G131" s="152">
        <v>7.0388587E7</v>
      </c>
      <c r="H131" s="150"/>
      <c r="I131" s="99"/>
      <c r="K131" s="112" t="s">
        <v>1989</v>
      </c>
      <c r="L131" s="120" t="s">
        <v>1990</v>
      </c>
      <c r="M131" s="225" t="s">
        <v>2151</v>
      </c>
      <c r="N131" s="168" t="s">
        <v>2152</v>
      </c>
      <c r="O131" s="226" t="s">
        <v>2153</v>
      </c>
      <c r="P131" s="97"/>
      <c r="Q131" s="97">
        <f>59177767980</f>
        <v>59177767980</v>
      </c>
      <c r="R131" s="225" t="s">
        <v>2154</v>
      </c>
      <c r="S131" s="97"/>
    </row>
    <row r="132">
      <c r="A132" s="112" t="s">
        <v>1995</v>
      </c>
      <c r="B132" s="120" t="s">
        <v>2064</v>
      </c>
      <c r="C132" s="152" t="s">
        <v>2155</v>
      </c>
      <c r="D132" s="152" t="s">
        <v>2156</v>
      </c>
      <c r="G132" s="152">
        <v>7.2419897E7</v>
      </c>
      <c r="H132" s="152" t="s">
        <v>2157</v>
      </c>
      <c r="I132" s="99"/>
      <c r="K132" s="112" t="s">
        <v>1995</v>
      </c>
      <c r="L132" s="154"/>
      <c r="M132" s="97"/>
      <c r="N132" s="97"/>
      <c r="O132" s="97"/>
      <c r="P132" s="97"/>
      <c r="Q132" s="97"/>
      <c r="R132" s="97"/>
      <c r="S132" s="97"/>
    </row>
    <row r="133">
      <c r="A133" s="113"/>
      <c r="B133" s="154"/>
      <c r="I133" s="99"/>
      <c r="K133" s="113"/>
      <c r="L133" s="154"/>
      <c r="M133" s="97"/>
      <c r="N133" s="97"/>
      <c r="O133" s="97"/>
      <c r="P133" s="97"/>
      <c r="Q133" s="97"/>
      <c r="R133" s="97"/>
      <c r="S133" s="97"/>
    </row>
    <row r="134">
      <c r="A134" s="113"/>
      <c r="B134" s="154"/>
      <c r="I134" s="99"/>
      <c r="K134" s="113"/>
      <c r="L134" s="154"/>
      <c r="M134" s="97"/>
      <c r="N134" s="97"/>
      <c r="O134" s="97"/>
      <c r="P134" s="97"/>
      <c r="Q134" s="97"/>
      <c r="R134" s="97"/>
      <c r="S134" s="97"/>
    </row>
    <row r="135">
      <c r="A135" s="114">
        <v>25.0</v>
      </c>
      <c r="B135" s="201" t="s">
        <v>1187</v>
      </c>
      <c r="C135" s="116" t="s">
        <v>1187</v>
      </c>
      <c r="D135" s="117"/>
      <c r="E135" s="117"/>
      <c r="F135" s="117"/>
      <c r="G135" s="117"/>
      <c r="H135" s="117"/>
      <c r="I135" s="118"/>
      <c r="J135" s="117"/>
      <c r="K135" s="114">
        <v>26.0</v>
      </c>
      <c r="L135" s="200" t="s">
        <v>1218</v>
      </c>
      <c r="M135" s="119" t="s">
        <v>1219</v>
      </c>
      <c r="N135" s="117"/>
      <c r="O135" s="117"/>
      <c r="P135" s="117"/>
      <c r="Q135" s="117"/>
      <c r="R135" s="227"/>
      <c r="S135" s="22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17"/>
      <c r="AH135" s="117"/>
      <c r="AI135" s="117"/>
      <c r="AJ135" s="117"/>
      <c r="AK135" s="117"/>
      <c r="AL135" s="117"/>
      <c r="AM135" s="117"/>
      <c r="AN135" s="117"/>
      <c r="AO135" s="117"/>
      <c r="AP135" s="117"/>
      <c r="AQ135" s="117"/>
      <c r="AR135" s="117"/>
      <c r="AS135" s="117"/>
      <c r="AT135" s="117"/>
      <c r="AU135" s="117"/>
      <c r="AV135" s="117"/>
      <c r="AW135" s="117"/>
      <c r="AX135" s="117"/>
      <c r="AY135" s="117"/>
      <c r="AZ135" s="117"/>
      <c r="BA135" s="117"/>
      <c r="BB135" s="117"/>
      <c r="BC135" s="113"/>
      <c r="BD135" s="113"/>
      <c r="BE135" s="113"/>
    </row>
    <row r="136">
      <c r="A136" s="113"/>
      <c r="B136" s="120" t="s">
        <v>1976</v>
      </c>
      <c r="C136" s="121" t="s">
        <v>1190</v>
      </c>
      <c r="D136" s="122">
        <v>7.7211262E7</v>
      </c>
      <c r="E136" s="123" t="s">
        <v>1192</v>
      </c>
      <c r="F136" s="122">
        <v>1.305642E7</v>
      </c>
      <c r="I136" s="124" t="s">
        <v>2026</v>
      </c>
      <c r="K136" s="113"/>
      <c r="L136" s="120" t="s">
        <v>1976</v>
      </c>
      <c r="M136" s="160" t="s">
        <v>1222</v>
      </c>
      <c r="N136" s="126">
        <v>7.0328957E7</v>
      </c>
      <c r="O136" s="161" t="s">
        <v>1224</v>
      </c>
      <c r="P136" s="126">
        <v>1.0422227E7</v>
      </c>
      <c r="Q136" s="97"/>
      <c r="R136" s="97"/>
      <c r="S136" s="228" t="s">
        <v>1981</v>
      </c>
    </row>
    <row r="137">
      <c r="A137" s="112">
        <v>1.0</v>
      </c>
      <c r="B137" s="120" t="s">
        <v>1982</v>
      </c>
      <c r="C137" s="129" t="s">
        <v>1193</v>
      </c>
      <c r="D137" s="130" t="s">
        <v>1194</v>
      </c>
      <c r="E137" s="137" t="s">
        <v>1195</v>
      </c>
      <c r="F137" s="138" t="s">
        <v>238</v>
      </c>
      <c r="G137" s="133">
        <v>7.3702175E7</v>
      </c>
      <c r="H137" s="130" t="s">
        <v>1197</v>
      </c>
      <c r="I137" s="99"/>
      <c r="K137" s="112">
        <v>1.0</v>
      </c>
      <c r="L137" s="120" t="s">
        <v>1982</v>
      </c>
      <c r="M137" s="135" t="s">
        <v>1225</v>
      </c>
      <c r="N137" s="136" t="s">
        <v>1226</v>
      </c>
      <c r="O137" s="137" t="s">
        <v>1227</v>
      </c>
      <c r="P137" s="138" t="s">
        <v>238</v>
      </c>
      <c r="Q137" s="139">
        <v>6.7658112E7</v>
      </c>
      <c r="R137" s="136" t="s">
        <v>1229</v>
      </c>
      <c r="S137" s="97"/>
    </row>
    <row r="138">
      <c r="A138" s="112">
        <v>2.0</v>
      </c>
      <c r="B138" s="120" t="s">
        <v>1984</v>
      </c>
      <c r="C138" s="129" t="s">
        <v>1198</v>
      </c>
      <c r="D138" s="130" t="s">
        <v>1199</v>
      </c>
      <c r="E138" s="144" t="s">
        <v>1200</v>
      </c>
      <c r="F138" s="146" t="s">
        <v>225</v>
      </c>
      <c r="G138" s="133">
        <v>7.7211262E7</v>
      </c>
      <c r="H138" s="130" t="s">
        <v>1192</v>
      </c>
      <c r="I138" s="99"/>
      <c r="K138" s="112">
        <v>2.0</v>
      </c>
      <c r="L138" s="120" t="s">
        <v>1984</v>
      </c>
      <c r="M138" s="135" t="s">
        <v>1230</v>
      </c>
      <c r="N138" s="136" t="s">
        <v>1231</v>
      </c>
      <c r="O138" s="137" t="s">
        <v>1232</v>
      </c>
      <c r="P138" s="138" t="s">
        <v>238</v>
      </c>
      <c r="Q138" s="139">
        <v>7.611175E7</v>
      </c>
      <c r="R138" s="136" t="s">
        <v>1234</v>
      </c>
      <c r="S138" s="97"/>
    </row>
    <row r="139">
      <c r="A139" s="112">
        <v>3.0</v>
      </c>
      <c r="B139" s="120" t="s">
        <v>1985</v>
      </c>
      <c r="C139" s="129" t="s">
        <v>1202</v>
      </c>
      <c r="D139" s="130" t="s">
        <v>1203</v>
      </c>
      <c r="E139" s="137" t="s">
        <v>1204</v>
      </c>
      <c r="F139" s="138" t="s">
        <v>238</v>
      </c>
      <c r="G139" s="133">
        <v>6.7112418E7</v>
      </c>
      <c r="H139" s="130" t="s">
        <v>1206</v>
      </c>
      <c r="I139" s="99"/>
      <c r="K139" s="112">
        <v>3.0</v>
      </c>
      <c r="L139" s="120" t="s">
        <v>1985</v>
      </c>
      <c r="M139" s="135" t="s">
        <v>1222</v>
      </c>
      <c r="N139" s="136" t="s">
        <v>1235</v>
      </c>
      <c r="O139" s="144" t="s">
        <v>1236</v>
      </c>
      <c r="P139" s="146" t="s">
        <v>238</v>
      </c>
      <c r="Q139" s="139">
        <v>7.0328957E7</v>
      </c>
      <c r="R139" s="136" t="s">
        <v>1224</v>
      </c>
      <c r="S139" s="97"/>
    </row>
    <row r="140">
      <c r="A140" s="112">
        <v>4.0</v>
      </c>
      <c r="B140" s="120" t="s">
        <v>1986</v>
      </c>
      <c r="C140" s="129" t="s">
        <v>1207</v>
      </c>
      <c r="D140" s="130" t="s">
        <v>1208</v>
      </c>
      <c r="E140" s="163" t="s">
        <v>1209</v>
      </c>
      <c r="F140" s="192" t="s">
        <v>238</v>
      </c>
      <c r="G140" s="133">
        <v>6.9787392E7</v>
      </c>
      <c r="H140" s="130" t="s">
        <v>1211</v>
      </c>
      <c r="I140" s="99"/>
      <c r="K140" s="112">
        <v>4.0</v>
      </c>
      <c r="L140" s="120" t="s">
        <v>1986</v>
      </c>
      <c r="M140" s="135" t="s">
        <v>1237</v>
      </c>
      <c r="N140" s="136" t="s">
        <v>1238</v>
      </c>
      <c r="O140" s="163" t="s">
        <v>1239</v>
      </c>
      <c r="P140" s="192" t="s">
        <v>238</v>
      </c>
      <c r="Q140" s="139">
        <v>6.7635358E7</v>
      </c>
      <c r="R140" s="136" t="s">
        <v>1240</v>
      </c>
      <c r="S140" s="97"/>
    </row>
    <row r="141">
      <c r="A141" s="112">
        <v>5.0</v>
      </c>
      <c r="B141" s="120" t="s">
        <v>1988</v>
      </c>
      <c r="C141" s="129" t="s">
        <v>1212</v>
      </c>
      <c r="D141" s="130" t="s">
        <v>1213</v>
      </c>
      <c r="E141" s="144" t="s">
        <v>1214</v>
      </c>
      <c r="F141" s="132" t="s">
        <v>238</v>
      </c>
      <c r="G141" s="133">
        <v>6.9754215E7</v>
      </c>
      <c r="H141" s="130" t="s">
        <v>1215</v>
      </c>
      <c r="I141" s="99"/>
      <c r="K141" s="112">
        <v>5.0</v>
      </c>
      <c r="L141" s="120" t="s">
        <v>1988</v>
      </c>
      <c r="M141" s="135" t="s">
        <v>1241</v>
      </c>
      <c r="N141" s="136" t="s">
        <v>1242</v>
      </c>
      <c r="O141" s="144" t="s">
        <v>1243</v>
      </c>
      <c r="P141" s="132" t="s">
        <v>238</v>
      </c>
      <c r="Q141" s="139">
        <v>6.2900028E7</v>
      </c>
      <c r="R141" s="136" t="s">
        <v>1245</v>
      </c>
      <c r="S141" s="97"/>
    </row>
    <row r="142">
      <c r="A142" s="112" t="s">
        <v>1989</v>
      </c>
      <c r="B142" s="186" t="s">
        <v>2158</v>
      </c>
      <c r="C142" s="181" t="s">
        <v>2159</v>
      </c>
      <c r="D142" s="152" t="s">
        <v>2160</v>
      </c>
      <c r="E142" s="199" t="s">
        <v>1217</v>
      </c>
      <c r="G142" s="150"/>
      <c r="H142" s="150"/>
      <c r="I142" s="99"/>
      <c r="K142" s="112" t="s">
        <v>1989</v>
      </c>
      <c r="L142" s="186" t="s">
        <v>2161</v>
      </c>
      <c r="M142" s="229" t="s">
        <v>2162</v>
      </c>
      <c r="N142" s="152" t="s">
        <v>2163</v>
      </c>
      <c r="O142" s="215" t="s">
        <v>2164</v>
      </c>
      <c r="P142" s="97"/>
      <c r="Q142" s="97"/>
      <c r="R142" s="97"/>
      <c r="S142" s="97"/>
    </row>
    <row r="143">
      <c r="A143" s="112" t="s">
        <v>1995</v>
      </c>
      <c r="B143" s="154"/>
      <c r="I143" s="99"/>
      <c r="K143" s="112" t="s">
        <v>1995</v>
      </c>
      <c r="L143" s="207" t="s">
        <v>2165</v>
      </c>
      <c r="M143" s="225" t="s">
        <v>2166</v>
      </c>
      <c r="N143" s="225" t="s">
        <v>2167</v>
      </c>
      <c r="O143" s="226" t="s">
        <v>2168</v>
      </c>
      <c r="P143" s="97"/>
      <c r="Q143" s="225">
        <v>7.1371429E7</v>
      </c>
      <c r="R143" s="97"/>
      <c r="S143" s="97"/>
    </row>
    <row r="144">
      <c r="A144" s="113"/>
      <c r="B144" s="154"/>
      <c r="I144" s="99"/>
      <c r="K144" s="113"/>
      <c r="L144" s="207" t="s">
        <v>2169</v>
      </c>
      <c r="M144" s="152" t="s">
        <v>2170</v>
      </c>
      <c r="N144" s="225" t="s">
        <v>2171</v>
      </c>
      <c r="O144" s="226" t="s">
        <v>2172</v>
      </c>
      <c r="P144" s="97"/>
      <c r="Q144" s="97"/>
      <c r="R144" s="97"/>
      <c r="S144" s="97"/>
    </row>
    <row r="145">
      <c r="A145" s="113"/>
      <c r="B145" s="154"/>
      <c r="I145" s="99"/>
      <c r="K145" s="113"/>
      <c r="L145" s="154"/>
      <c r="M145" s="97"/>
      <c r="N145" s="97"/>
      <c r="O145" s="97"/>
      <c r="P145" s="97"/>
      <c r="Q145" s="97"/>
      <c r="R145" s="97"/>
      <c r="S145" s="97"/>
    </row>
    <row r="146">
      <c r="A146" s="114">
        <v>27.0</v>
      </c>
      <c r="B146" s="201" t="s">
        <v>1249</v>
      </c>
      <c r="C146" s="116" t="s">
        <v>1250</v>
      </c>
      <c r="D146" s="117"/>
      <c r="E146" s="117"/>
      <c r="F146" s="117"/>
      <c r="G146" s="117"/>
      <c r="H146" s="117"/>
      <c r="I146" s="118"/>
      <c r="J146" s="117"/>
      <c r="K146" s="114">
        <v>28.0</v>
      </c>
      <c r="L146" s="200" t="s">
        <v>1273</v>
      </c>
      <c r="M146" s="119" t="s">
        <v>1274</v>
      </c>
      <c r="N146" s="117"/>
      <c r="O146" s="117"/>
      <c r="P146" s="117"/>
      <c r="Q146" s="117"/>
      <c r="R146" s="227"/>
      <c r="S146" s="22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17"/>
      <c r="AH146" s="117"/>
      <c r="AI146" s="117"/>
      <c r="AJ146" s="117"/>
      <c r="AK146" s="117"/>
      <c r="AL146" s="117"/>
      <c r="AM146" s="117"/>
      <c r="AN146" s="117"/>
      <c r="AO146" s="117"/>
      <c r="AP146" s="117"/>
      <c r="AQ146" s="117"/>
      <c r="AR146" s="117"/>
      <c r="AS146" s="117"/>
      <c r="AT146" s="117"/>
      <c r="AU146" s="117"/>
      <c r="AV146" s="117"/>
      <c r="AW146" s="117"/>
      <c r="AX146" s="117"/>
      <c r="AY146" s="117"/>
      <c r="AZ146" s="117"/>
      <c r="BA146" s="117"/>
      <c r="BB146" s="117"/>
      <c r="BC146" s="113"/>
      <c r="BD146" s="113"/>
      <c r="BE146" s="113"/>
    </row>
    <row r="147">
      <c r="A147" s="113"/>
      <c r="B147" s="120" t="s">
        <v>1976</v>
      </c>
      <c r="C147" s="121" t="s">
        <v>1253</v>
      </c>
      <c r="D147" s="122">
        <v>6.3144818E7</v>
      </c>
      <c r="E147" s="123" t="s">
        <v>1255</v>
      </c>
      <c r="F147" s="122">
        <v>1.2544775E7</v>
      </c>
      <c r="I147" s="124" t="s">
        <v>1977</v>
      </c>
      <c r="K147" s="113"/>
      <c r="L147" s="120" t="s">
        <v>1976</v>
      </c>
      <c r="M147" s="160" t="s">
        <v>1276</v>
      </c>
      <c r="N147" s="126">
        <v>7.5264216E7</v>
      </c>
      <c r="O147" s="161" t="s">
        <v>1278</v>
      </c>
      <c r="P147" s="126">
        <v>8480341.0</v>
      </c>
      <c r="Q147" s="97"/>
      <c r="R147" s="97"/>
      <c r="S147" s="228" t="s">
        <v>1981</v>
      </c>
    </row>
    <row r="148">
      <c r="A148" s="112">
        <v>1.0</v>
      </c>
      <c r="B148" s="120" t="s">
        <v>1982</v>
      </c>
      <c r="C148" s="129" t="s">
        <v>1256</v>
      </c>
      <c r="D148" s="130" t="s">
        <v>1257</v>
      </c>
      <c r="E148" s="144" t="s">
        <v>1258</v>
      </c>
      <c r="F148" s="146" t="s">
        <v>238</v>
      </c>
      <c r="G148" s="133">
        <v>6.8029059E7</v>
      </c>
      <c r="H148" s="230"/>
      <c r="I148" s="134" t="s">
        <v>2173</v>
      </c>
      <c r="K148" s="112">
        <v>1.0</v>
      </c>
      <c r="L148" s="120" t="s">
        <v>1982</v>
      </c>
      <c r="M148" s="135" t="s">
        <v>1279</v>
      </c>
      <c r="N148" s="231" t="s">
        <v>1280</v>
      </c>
      <c r="O148" s="137" t="s">
        <v>1281</v>
      </c>
      <c r="P148" s="138" t="s">
        <v>238</v>
      </c>
      <c r="Q148" s="139">
        <v>6.7347886E7</v>
      </c>
      <c r="R148" s="136" t="s">
        <v>1282</v>
      </c>
      <c r="S148" s="97"/>
    </row>
    <row r="149">
      <c r="A149" s="112">
        <v>2.0</v>
      </c>
      <c r="B149" s="120" t="s">
        <v>1984</v>
      </c>
      <c r="C149" s="129" t="s">
        <v>1253</v>
      </c>
      <c r="D149" s="130" t="s">
        <v>1259</v>
      </c>
      <c r="E149" s="131" t="s">
        <v>1260</v>
      </c>
      <c r="F149" s="146" t="s">
        <v>238</v>
      </c>
      <c r="G149" s="133">
        <v>6.3144818E7</v>
      </c>
      <c r="H149" s="130" t="s">
        <v>1255</v>
      </c>
      <c r="I149" s="99"/>
      <c r="K149" s="112">
        <v>2.0</v>
      </c>
      <c r="L149" s="120" t="s">
        <v>1984</v>
      </c>
      <c r="M149" s="135" t="s">
        <v>1283</v>
      </c>
      <c r="N149" s="231" t="s">
        <v>1284</v>
      </c>
      <c r="O149" s="137" t="s">
        <v>1285</v>
      </c>
      <c r="P149" s="138" t="s">
        <v>238</v>
      </c>
      <c r="Q149" s="139">
        <v>787908.0</v>
      </c>
      <c r="R149" s="136" t="s">
        <v>1287</v>
      </c>
      <c r="S149" s="97"/>
    </row>
    <row r="150">
      <c r="A150" s="112">
        <v>3.0</v>
      </c>
      <c r="B150" s="120" t="s">
        <v>1985</v>
      </c>
      <c r="C150" s="129" t="s">
        <v>1262</v>
      </c>
      <c r="D150" s="130" t="s">
        <v>1263</v>
      </c>
      <c r="E150" s="232" t="s">
        <v>1264</v>
      </c>
      <c r="F150" s="189" t="s">
        <v>225</v>
      </c>
      <c r="G150" s="233">
        <v>7.6812989E7</v>
      </c>
      <c r="H150" s="230"/>
      <c r="I150" s="99"/>
      <c r="K150" s="112">
        <v>3.0</v>
      </c>
      <c r="L150" s="120" t="s">
        <v>1985</v>
      </c>
      <c r="M150" s="135" t="s">
        <v>1288</v>
      </c>
      <c r="N150" s="231" t="s">
        <v>1289</v>
      </c>
      <c r="O150" s="234" t="s">
        <v>1290</v>
      </c>
      <c r="P150" s="235" t="s">
        <v>238</v>
      </c>
      <c r="Q150" s="139">
        <v>7.5264216E7</v>
      </c>
      <c r="R150" s="136" t="s">
        <v>1278</v>
      </c>
      <c r="S150" s="225" t="s">
        <v>2174</v>
      </c>
    </row>
    <row r="151">
      <c r="A151" s="112">
        <v>4.0</v>
      </c>
      <c r="B151" s="120" t="s">
        <v>1986</v>
      </c>
      <c r="C151" s="129" t="s">
        <v>1265</v>
      </c>
      <c r="D151" s="130" t="s">
        <v>1266</v>
      </c>
      <c r="E151" s="131" t="s">
        <v>1267</v>
      </c>
      <c r="F151" s="132" t="s">
        <v>225</v>
      </c>
      <c r="G151" s="230"/>
      <c r="H151" s="230"/>
      <c r="I151" s="99"/>
      <c r="K151" s="112">
        <v>4.0</v>
      </c>
      <c r="L151" s="120" t="s">
        <v>1986</v>
      </c>
      <c r="M151" s="135" t="s">
        <v>1292</v>
      </c>
      <c r="N151" s="231" t="s">
        <v>1293</v>
      </c>
      <c r="O151" s="144" t="s">
        <v>1294</v>
      </c>
      <c r="P151" s="146" t="s">
        <v>238</v>
      </c>
      <c r="Q151" s="139">
        <v>7.7268045E7</v>
      </c>
      <c r="R151" s="136" t="s">
        <v>1296</v>
      </c>
      <c r="S151" s="97"/>
    </row>
    <row r="152">
      <c r="A152" s="112">
        <v>5.0</v>
      </c>
      <c r="B152" s="120" t="s">
        <v>1988</v>
      </c>
      <c r="C152" s="129" t="s">
        <v>1268</v>
      </c>
      <c r="D152" s="130" t="s">
        <v>1269</v>
      </c>
      <c r="E152" s="144" t="s">
        <v>1270</v>
      </c>
      <c r="F152" s="132" t="s">
        <v>238</v>
      </c>
      <c r="G152" s="230"/>
      <c r="H152" s="230"/>
      <c r="I152" s="99"/>
      <c r="K152" s="112">
        <v>5.0</v>
      </c>
      <c r="L152" s="120" t="s">
        <v>1988</v>
      </c>
      <c r="M152" s="135" t="s">
        <v>1297</v>
      </c>
      <c r="N152" s="231" t="s">
        <v>1298</v>
      </c>
      <c r="O152" s="144" t="s">
        <v>1299</v>
      </c>
      <c r="P152" s="132" t="s">
        <v>238</v>
      </c>
      <c r="Q152" s="139">
        <v>7.8334996E7</v>
      </c>
      <c r="R152" s="136" t="s">
        <v>1300</v>
      </c>
      <c r="S152" s="97"/>
    </row>
    <row r="153">
      <c r="A153" s="112" t="s">
        <v>1989</v>
      </c>
      <c r="B153" s="186" t="s">
        <v>1990</v>
      </c>
      <c r="C153" s="229" t="s">
        <v>2175</v>
      </c>
      <c r="D153" s="236" t="s">
        <v>2176</v>
      </c>
      <c r="F153" s="152" t="s">
        <v>2132</v>
      </c>
      <c r="I153" s="99"/>
      <c r="K153" s="112" t="s">
        <v>1989</v>
      </c>
      <c r="L153" s="120" t="s">
        <v>2019</v>
      </c>
      <c r="M153" s="229" t="s">
        <v>2177</v>
      </c>
      <c r="N153" s="152" t="s">
        <v>2178</v>
      </c>
      <c r="O153" s="184" t="s">
        <v>1302</v>
      </c>
      <c r="P153" s="225" t="s">
        <v>2132</v>
      </c>
      <c r="Q153" s="237"/>
      <c r="R153" s="237"/>
      <c r="S153" s="97"/>
    </row>
    <row r="154">
      <c r="A154" s="112" t="s">
        <v>1995</v>
      </c>
      <c r="B154" s="186" t="s">
        <v>1990</v>
      </c>
      <c r="C154" s="152" t="s">
        <v>2179</v>
      </c>
      <c r="D154" s="152" t="s">
        <v>2180</v>
      </c>
      <c r="F154" s="152" t="s">
        <v>2132</v>
      </c>
      <c r="G154" s="152">
        <v>7.7703615E7</v>
      </c>
      <c r="I154" s="99"/>
      <c r="K154" s="112" t="s">
        <v>1995</v>
      </c>
      <c r="L154" s="120" t="s">
        <v>1986</v>
      </c>
      <c r="M154" s="225" t="s">
        <v>2181</v>
      </c>
      <c r="N154" s="238" t="s">
        <v>2182</v>
      </c>
      <c r="O154" s="97"/>
      <c r="P154" s="97"/>
      <c r="Q154" s="97"/>
      <c r="R154" s="97"/>
      <c r="S154" s="97"/>
    </row>
    <row r="155">
      <c r="A155" s="113"/>
      <c r="B155" s="154"/>
      <c r="I155" s="99"/>
      <c r="K155" s="113"/>
      <c r="L155" s="154"/>
      <c r="M155" s="97"/>
      <c r="N155" s="97"/>
      <c r="O155" s="97"/>
      <c r="P155" s="97"/>
      <c r="Q155" s="97"/>
      <c r="R155" s="97"/>
      <c r="S155" s="97"/>
    </row>
    <row r="156">
      <c r="A156" s="113"/>
      <c r="B156" s="154"/>
      <c r="I156" s="99"/>
      <c r="K156" s="113"/>
      <c r="L156" s="154"/>
      <c r="M156" s="97"/>
      <c r="N156" s="97"/>
      <c r="O156" s="97"/>
      <c r="P156" s="97"/>
      <c r="Q156" s="97"/>
      <c r="R156" s="97"/>
      <c r="S156" s="97"/>
    </row>
    <row r="157">
      <c r="A157" s="114">
        <v>29.0</v>
      </c>
      <c r="B157" s="201" t="s">
        <v>1304</v>
      </c>
      <c r="C157" s="116" t="s">
        <v>1305</v>
      </c>
      <c r="D157" s="117"/>
      <c r="E157" s="117"/>
      <c r="F157" s="117"/>
      <c r="G157" s="117"/>
      <c r="H157" s="117"/>
      <c r="I157" s="118"/>
      <c r="J157" s="117"/>
      <c r="K157" s="114">
        <v>30.0</v>
      </c>
      <c r="L157" s="200" t="s">
        <v>1336</v>
      </c>
      <c r="M157" s="119" t="s">
        <v>1337</v>
      </c>
      <c r="N157" s="117"/>
      <c r="O157" s="117"/>
      <c r="P157" s="117"/>
      <c r="Q157" s="117"/>
      <c r="R157" s="227"/>
      <c r="S157" s="22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7"/>
      <c r="AH157" s="117"/>
      <c r="AI157" s="117"/>
      <c r="AJ157" s="117"/>
      <c r="AK157" s="117"/>
      <c r="AL157" s="117"/>
      <c r="AM157" s="117"/>
      <c r="AN157" s="117"/>
      <c r="AO157" s="117"/>
      <c r="AP157" s="117"/>
      <c r="AQ157" s="117"/>
      <c r="AR157" s="117"/>
      <c r="AS157" s="117"/>
      <c r="AT157" s="117"/>
      <c r="AU157" s="117"/>
      <c r="AV157" s="117"/>
      <c r="AW157" s="117"/>
      <c r="AX157" s="117"/>
      <c r="AY157" s="117"/>
      <c r="AZ157" s="117"/>
      <c r="BA157" s="117"/>
      <c r="BB157" s="117"/>
      <c r="BC157" s="113"/>
      <c r="BD157" s="113"/>
      <c r="BE157" s="113"/>
    </row>
    <row r="158">
      <c r="A158" s="113"/>
      <c r="B158" s="120" t="s">
        <v>1976</v>
      </c>
      <c r="C158" s="121" t="s">
        <v>1308</v>
      </c>
      <c r="D158" s="122">
        <v>6.5691243E7</v>
      </c>
      <c r="E158" s="123" t="s">
        <v>1310</v>
      </c>
      <c r="F158" s="122">
        <v>7041984.0</v>
      </c>
      <c r="I158" s="124" t="s">
        <v>2026</v>
      </c>
      <c r="K158" s="113"/>
      <c r="L158" s="120" t="s">
        <v>1976</v>
      </c>
      <c r="M158" s="160" t="s">
        <v>1340</v>
      </c>
      <c r="N158" s="126">
        <v>7.8695881E7</v>
      </c>
      <c r="O158" s="161" t="s">
        <v>1342</v>
      </c>
      <c r="P158" s="126">
        <v>1.0388869E7</v>
      </c>
      <c r="Q158" s="97"/>
      <c r="R158" s="97"/>
      <c r="S158" s="228" t="s">
        <v>1981</v>
      </c>
    </row>
    <row r="159">
      <c r="A159" s="112">
        <v>1.0</v>
      </c>
      <c r="B159" s="120" t="s">
        <v>1982</v>
      </c>
      <c r="C159" s="129" t="s">
        <v>1311</v>
      </c>
      <c r="D159" s="152" t="s">
        <v>2183</v>
      </c>
      <c r="E159" s="144" t="s">
        <v>1313</v>
      </c>
      <c r="F159" s="138" t="s">
        <v>238</v>
      </c>
      <c r="G159" s="133">
        <v>6.9952063E7</v>
      </c>
      <c r="H159" s="130" t="s">
        <v>1315</v>
      </c>
      <c r="I159" s="99"/>
      <c r="K159" s="112">
        <v>1.0</v>
      </c>
      <c r="L159" s="120" t="s">
        <v>1982</v>
      </c>
      <c r="M159" s="135" t="s">
        <v>1343</v>
      </c>
      <c r="N159" s="136" t="s">
        <v>1344</v>
      </c>
      <c r="O159" s="137" t="s">
        <v>1345</v>
      </c>
      <c r="P159" s="138" t="s">
        <v>238</v>
      </c>
      <c r="Q159" s="139">
        <v>7.71228E7</v>
      </c>
      <c r="R159" s="136" t="s">
        <v>1347</v>
      </c>
      <c r="S159" s="97"/>
    </row>
    <row r="160">
      <c r="A160" s="112">
        <v>2.0</v>
      </c>
      <c r="B160" s="120" t="s">
        <v>1984</v>
      </c>
      <c r="C160" s="129" t="s">
        <v>1316</v>
      </c>
      <c r="D160" s="130" t="s">
        <v>1317</v>
      </c>
      <c r="E160" s="131" t="s">
        <v>1318</v>
      </c>
      <c r="F160" s="146" t="s">
        <v>238</v>
      </c>
      <c r="G160" s="133">
        <v>6.9712786E7</v>
      </c>
      <c r="H160" s="130" t="s">
        <v>1320</v>
      </c>
      <c r="I160" s="99"/>
      <c r="K160" s="112">
        <v>2.0</v>
      </c>
      <c r="L160" s="120" t="s">
        <v>1984</v>
      </c>
      <c r="M160" s="135" t="s">
        <v>1348</v>
      </c>
      <c r="N160" s="136" t="s">
        <v>1349</v>
      </c>
      <c r="O160" s="137" t="s">
        <v>1350</v>
      </c>
      <c r="P160" s="138" t="s">
        <v>238</v>
      </c>
      <c r="Q160" s="139">
        <v>6.8622702E7</v>
      </c>
      <c r="R160" s="136" t="s">
        <v>1352</v>
      </c>
      <c r="S160" s="97"/>
    </row>
    <row r="161">
      <c r="A161" s="112">
        <v>3.0</v>
      </c>
      <c r="B161" s="120" t="s">
        <v>1985</v>
      </c>
      <c r="C161" s="239" t="s">
        <v>2184</v>
      </c>
      <c r="D161" s="130" t="s">
        <v>1312</v>
      </c>
      <c r="F161" s="152" t="s">
        <v>2185</v>
      </c>
      <c r="G161" s="150"/>
      <c r="H161" s="165" t="s">
        <v>2186</v>
      </c>
      <c r="I161" s="99"/>
      <c r="K161" s="112">
        <v>3.0</v>
      </c>
      <c r="L161" s="120" t="s">
        <v>1985</v>
      </c>
      <c r="M161" s="135" t="s">
        <v>1353</v>
      </c>
      <c r="N161" s="136" t="s">
        <v>1354</v>
      </c>
      <c r="O161" s="144" t="s">
        <v>1355</v>
      </c>
      <c r="P161" s="146" t="s">
        <v>238</v>
      </c>
      <c r="Q161" s="139">
        <v>6.8374083E7</v>
      </c>
      <c r="R161" s="136" t="s">
        <v>1357</v>
      </c>
      <c r="S161" s="97"/>
    </row>
    <row r="162">
      <c r="A162" s="112">
        <v>4.0</v>
      </c>
      <c r="B162" s="120" t="s">
        <v>1986</v>
      </c>
      <c r="C162" s="129" t="s">
        <v>1308</v>
      </c>
      <c r="D162" s="130" t="s">
        <v>1326</v>
      </c>
      <c r="E162" s="144" t="s">
        <v>1327</v>
      </c>
      <c r="F162" s="132" t="s">
        <v>238</v>
      </c>
      <c r="G162" s="133">
        <v>6.5691243E7</v>
      </c>
      <c r="H162" s="130" t="s">
        <v>1310</v>
      </c>
      <c r="I162" s="99"/>
      <c r="K162" s="112">
        <v>4.0</v>
      </c>
      <c r="L162" s="120" t="s">
        <v>1986</v>
      </c>
      <c r="M162" s="135" t="s">
        <v>1358</v>
      </c>
      <c r="N162" s="136" t="s">
        <v>1359</v>
      </c>
      <c r="O162" s="137" t="s">
        <v>1360</v>
      </c>
      <c r="P162" s="138" t="s">
        <v>238</v>
      </c>
      <c r="Q162" s="139">
        <v>7.711853E7</v>
      </c>
      <c r="R162" s="136" t="s">
        <v>1362</v>
      </c>
      <c r="S162" s="97"/>
    </row>
    <row r="163">
      <c r="A163" s="112">
        <v>5.0</v>
      </c>
      <c r="B163" s="120" t="s">
        <v>1988</v>
      </c>
      <c r="I163" s="99"/>
      <c r="K163" s="112">
        <v>5.0</v>
      </c>
      <c r="L163" s="120" t="s">
        <v>1988</v>
      </c>
      <c r="M163" s="135" t="s">
        <v>1340</v>
      </c>
      <c r="N163" s="136" t="s">
        <v>1363</v>
      </c>
      <c r="O163" s="144" t="s">
        <v>1364</v>
      </c>
      <c r="P163" s="146" t="s">
        <v>238</v>
      </c>
      <c r="Q163" s="139">
        <v>7.8695881E7</v>
      </c>
      <c r="R163" s="136" t="s">
        <v>1342</v>
      </c>
      <c r="S163" s="97"/>
    </row>
    <row r="164">
      <c r="A164" s="112" t="s">
        <v>1989</v>
      </c>
      <c r="B164" s="120" t="s">
        <v>2055</v>
      </c>
      <c r="C164" s="129" t="s">
        <v>1321</v>
      </c>
      <c r="D164" s="130" t="s">
        <v>1322</v>
      </c>
      <c r="E164" s="144" t="s">
        <v>1323</v>
      </c>
      <c r="F164" s="132" t="s">
        <v>238</v>
      </c>
      <c r="G164" s="133">
        <v>6.9982713E7</v>
      </c>
      <c r="H164" s="130" t="s">
        <v>1325</v>
      </c>
      <c r="I164" s="99"/>
      <c r="K164" s="112" t="s">
        <v>1989</v>
      </c>
      <c r="L164" s="120" t="s">
        <v>2187</v>
      </c>
      <c r="M164" s="229" t="s">
        <v>2188</v>
      </c>
      <c r="N164" s="152" t="s">
        <v>2189</v>
      </c>
      <c r="O164" s="215" t="s">
        <v>2190</v>
      </c>
      <c r="P164" s="97"/>
      <c r="Q164" s="237"/>
      <c r="R164" s="237"/>
      <c r="S164" s="97"/>
    </row>
    <row r="165">
      <c r="A165" s="112" t="s">
        <v>1995</v>
      </c>
      <c r="B165" s="120" t="s">
        <v>2191</v>
      </c>
      <c r="C165" s="152" t="s">
        <v>2192</v>
      </c>
      <c r="D165" s="152" t="s">
        <v>2193</v>
      </c>
      <c r="F165" s="152" t="s">
        <v>2185</v>
      </c>
      <c r="G165" s="150"/>
      <c r="H165" s="152" t="s">
        <v>2194</v>
      </c>
      <c r="I165" s="99"/>
      <c r="K165" s="112" t="s">
        <v>1995</v>
      </c>
      <c r="L165" s="120" t="s">
        <v>2019</v>
      </c>
      <c r="M165" s="225" t="s">
        <v>2195</v>
      </c>
      <c r="N165" s="225" t="s">
        <v>2196</v>
      </c>
      <c r="O165" s="226" t="s">
        <v>2197</v>
      </c>
      <c r="P165" s="97"/>
      <c r="Q165" s="237"/>
      <c r="R165" s="237"/>
      <c r="S165" s="97"/>
    </row>
    <row r="166">
      <c r="A166" s="113"/>
      <c r="B166" s="120" t="s">
        <v>2064</v>
      </c>
      <c r="D166" s="152" t="s">
        <v>2198</v>
      </c>
      <c r="G166" s="167">
        <f>59179256196</f>
        <v>59179256196</v>
      </c>
      <c r="H166" s="152" t="s">
        <v>2198</v>
      </c>
      <c r="I166" s="99"/>
      <c r="K166" s="113"/>
      <c r="L166" s="154"/>
      <c r="M166" s="97"/>
      <c r="N166" s="97"/>
      <c r="O166" s="97"/>
      <c r="P166" s="97"/>
      <c r="Q166" s="97"/>
      <c r="R166" s="97"/>
      <c r="S166" s="97"/>
    </row>
    <row r="167">
      <c r="A167" s="113"/>
      <c r="B167" s="120" t="s">
        <v>2199</v>
      </c>
      <c r="C167" s="152" t="s">
        <v>2200</v>
      </c>
      <c r="D167" s="152" t="s">
        <v>2201</v>
      </c>
      <c r="E167" s="152" t="s">
        <v>2202</v>
      </c>
      <c r="G167" s="152">
        <v>7.9566905E7</v>
      </c>
      <c r="H167" s="152" t="s">
        <v>2203</v>
      </c>
      <c r="I167" s="99"/>
      <c r="K167" s="113"/>
      <c r="L167" s="154"/>
      <c r="M167" s="97"/>
      <c r="N167" s="97"/>
      <c r="O167" s="97"/>
      <c r="P167" s="97"/>
      <c r="Q167" s="97"/>
      <c r="R167" s="97"/>
      <c r="S167" s="97"/>
    </row>
    <row r="168">
      <c r="A168" s="114">
        <v>31.0</v>
      </c>
      <c r="B168" s="201" t="s">
        <v>1368</v>
      </c>
      <c r="C168" s="240" t="s">
        <v>2204</v>
      </c>
      <c r="D168" s="117"/>
      <c r="E168" s="117"/>
      <c r="F168" s="117"/>
      <c r="G168" s="117"/>
      <c r="H168" s="117"/>
      <c r="I168" s="118"/>
      <c r="J168" s="117"/>
      <c r="K168" s="114">
        <v>32.0</v>
      </c>
      <c r="L168" s="241" t="s">
        <v>1398</v>
      </c>
      <c r="M168" s="119" t="s">
        <v>1399</v>
      </c>
      <c r="N168" s="97"/>
      <c r="O168" s="117"/>
      <c r="P168" s="117"/>
      <c r="Q168" s="117"/>
      <c r="R168" s="227"/>
      <c r="S168" s="22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7"/>
      <c r="AH168" s="117"/>
      <c r="AI168" s="117"/>
      <c r="AJ168" s="117"/>
      <c r="AK168" s="117"/>
      <c r="AL168" s="117"/>
      <c r="AM168" s="117"/>
      <c r="AN168" s="117"/>
      <c r="AO168" s="117"/>
      <c r="AP168" s="117"/>
      <c r="AQ168" s="117"/>
      <c r="AR168" s="117"/>
      <c r="AS168" s="117"/>
      <c r="AT168" s="117"/>
      <c r="AU168" s="117"/>
      <c r="AV168" s="117"/>
      <c r="AW168" s="117"/>
      <c r="AX168" s="117"/>
      <c r="AY168" s="117"/>
      <c r="AZ168" s="117"/>
      <c r="BA168" s="117"/>
      <c r="BB168" s="117"/>
      <c r="BC168" s="113"/>
      <c r="BD168" s="113"/>
      <c r="BE168" s="113"/>
    </row>
    <row r="169">
      <c r="A169" s="113"/>
      <c r="B169" s="120" t="s">
        <v>1976</v>
      </c>
      <c r="C169" s="121" t="s">
        <v>1372</v>
      </c>
      <c r="D169" s="122">
        <v>6.4061433E7</v>
      </c>
      <c r="E169" s="123" t="s">
        <v>1374</v>
      </c>
      <c r="F169" s="122">
        <v>1.092909E7</v>
      </c>
      <c r="I169" s="124" t="s">
        <v>1977</v>
      </c>
      <c r="K169" s="113"/>
      <c r="L169" s="120" t="s">
        <v>1976</v>
      </c>
      <c r="M169" s="160" t="s">
        <v>1402</v>
      </c>
      <c r="N169" s="126">
        <v>7.6276566E7</v>
      </c>
      <c r="O169" s="161" t="s">
        <v>1404</v>
      </c>
      <c r="P169" s="126">
        <v>8328699.0</v>
      </c>
      <c r="S169" s="175" t="s">
        <v>2026</v>
      </c>
    </row>
    <row r="170">
      <c r="A170" s="112">
        <v>1.0</v>
      </c>
      <c r="B170" s="120" t="s">
        <v>1982</v>
      </c>
      <c r="C170" s="129" t="s">
        <v>1375</v>
      </c>
      <c r="D170" s="130" t="s">
        <v>1376</v>
      </c>
      <c r="E170" s="144" t="s">
        <v>1377</v>
      </c>
      <c r="F170" s="146" t="s">
        <v>238</v>
      </c>
      <c r="G170" s="133">
        <v>6.8599176E7</v>
      </c>
      <c r="H170" s="130" t="s">
        <v>1378</v>
      </c>
      <c r="I170" s="99"/>
      <c r="K170" s="112">
        <v>1.0</v>
      </c>
      <c r="L170" s="120" t="s">
        <v>1982</v>
      </c>
      <c r="M170" s="135" t="s">
        <v>1469</v>
      </c>
      <c r="N170" s="136" t="s">
        <v>1405</v>
      </c>
      <c r="O170" s="137" t="s">
        <v>1470</v>
      </c>
      <c r="P170" s="132" t="s">
        <v>225</v>
      </c>
      <c r="Q170" s="242">
        <v>7.6276566E7</v>
      </c>
      <c r="R170" s="136" t="s">
        <v>1404</v>
      </c>
    </row>
    <row r="171">
      <c r="A171" s="112">
        <v>2.0</v>
      </c>
      <c r="B171" s="120" t="s">
        <v>1984</v>
      </c>
      <c r="C171" s="129" t="s">
        <v>1379</v>
      </c>
      <c r="D171" s="130" t="s">
        <v>1380</v>
      </c>
      <c r="E171" s="131" t="s">
        <v>1381</v>
      </c>
      <c r="F171" s="189" t="s">
        <v>238</v>
      </c>
      <c r="G171" s="133">
        <v>7.5869104E7</v>
      </c>
      <c r="H171" s="130" t="s">
        <v>1382</v>
      </c>
      <c r="I171" s="99"/>
      <c r="K171" s="112">
        <v>2.0</v>
      </c>
      <c r="L171" s="120" t="s">
        <v>1984</v>
      </c>
      <c r="M171" s="135" t="s">
        <v>1408</v>
      </c>
      <c r="N171" s="136" t="s">
        <v>1409</v>
      </c>
      <c r="O171" s="131" t="s">
        <v>1410</v>
      </c>
      <c r="P171" s="132" t="s">
        <v>238</v>
      </c>
      <c r="Q171" s="139">
        <v>7.96662E7</v>
      </c>
      <c r="R171" s="136" t="s">
        <v>1412</v>
      </c>
    </row>
    <row r="172">
      <c r="A172" s="112">
        <v>3.0</v>
      </c>
      <c r="B172" s="120" t="s">
        <v>1985</v>
      </c>
      <c r="C172" s="129" t="s">
        <v>1383</v>
      </c>
      <c r="D172" s="130" t="s">
        <v>1384</v>
      </c>
      <c r="E172" s="144" t="s">
        <v>1385</v>
      </c>
      <c r="F172" s="146" t="s">
        <v>238</v>
      </c>
      <c r="G172" s="133">
        <v>7.5804956E7</v>
      </c>
      <c r="H172" s="130" t="s">
        <v>1387</v>
      </c>
      <c r="I172" s="99"/>
      <c r="K172" s="112">
        <v>3.0</v>
      </c>
      <c r="L172" s="120" t="s">
        <v>1985</v>
      </c>
      <c r="M172" s="135" t="s">
        <v>1413</v>
      </c>
      <c r="N172" s="189" t="s">
        <v>1414</v>
      </c>
      <c r="O172" s="144" t="s">
        <v>1473</v>
      </c>
      <c r="P172" s="146" t="s">
        <v>238</v>
      </c>
      <c r="Q172" s="139">
        <v>6.1855288E7</v>
      </c>
      <c r="R172" s="243" t="s">
        <v>2205</v>
      </c>
    </row>
    <row r="173">
      <c r="A173" s="112">
        <v>4.0</v>
      </c>
      <c r="B173" s="120" t="s">
        <v>1986</v>
      </c>
      <c r="C173" s="129" t="s">
        <v>1388</v>
      </c>
      <c r="D173" s="130" t="s">
        <v>1389</v>
      </c>
      <c r="E173" s="131" t="s">
        <v>1390</v>
      </c>
      <c r="F173" s="189" t="s">
        <v>238</v>
      </c>
      <c r="G173" s="133">
        <v>7.5227482E7</v>
      </c>
      <c r="H173" s="130" t="s">
        <v>1392</v>
      </c>
      <c r="I173" s="99"/>
      <c r="K173" s="112">
        <v>4.0</v>
      </c>
      <c r="L173" s="120" t="s">
        <v>1986</v>
      </c>
      <c r="M173" s="135" t="s">
        <v>1418</v>
      </c>
      <c r="N173" s="136" t="s">
        <v>1419</v>
      </c>
      <c r="O173" s="137" t="s">
        <v>1420</v>
      </c>
      <c r="P173" s="138" t="s">
        <v>238</v>
      </c>
      <c r="Q173" s="139">
        <v>7.8780088E7</v>
      </c>
      <c r="R173" s="136" t="s">
        <v>1422</v>
      </c>
    </row>
    <row r="174">
      <c r="A174" s="112">
        <v>5.0</v>
      </c>
      <c r="B174" s="120" t="s">
        <v>1988</v>
      </c>
      <c r="C174" s="129" t="s">
        <v>1372</v>
      </c>
      <c r="D174" s="130" t="s">
        <v>1393</v>
      </c>
      <c r="E174" s="131" t="s">
        <v>1394</v>
      </c>
      <c r="F174" s="132" t="s">
        <v>238</v>
      </c>
      <c r="G174" s="133">
        <v>6.4061433E7</v>
      </c>
      <c r="H174" s="130" t="s">
        <v>1374</v>
      </c>
      <c r="I174" s="99"/>
      <c r="K174" s="112">
        <v>5.0</v>
      </c>
      <c r="L174" s="120" t="s">
        <v>1988</v>
      </c>
      <c r="M174" s="135" t="s">
        <v>1423</v>
      </c>
      <c r="N174" s="136" t="s">
        <v>1424</v>
      </c>
      <c r="O174" s="144" t="s">
        <v>1425</v>
      </c>
      <c r="P174" s="244" t="s">
        <v>225</v>
      </c>
      <c r="Q174" s="139">
        <v>6.051789E7</v>
      </c>
      <c r="R174" s="136" t="s">
        <v>1478</v>
      </c>
    </row>
    <row r="175">
      <c r="A175" s="112" t="s">
        <v>1989</v>
      </c>
      <c r="B175" s="186" t="s">
        <v>1990</v>
      </c>
      <c r="C175" s="245" t="s">
        <v>2206</v>
      </c>
      <c r="D175" s="130" t="s">
        <v>1397</v>
      </c>
      <c r="G175" s="152">
        <v>7.6136244E7</v>
      </c>
      <c r="H175" s="150"/>
      <c r="I175" s="99"/>
      <c r="K175" s="112" t="s">
        <v>1989</v>
      </c>
      <c r="L175" s="120" t="s">
        <v>1990</v>
      </c>
    </row>
    <row r="176">
      <c r="A176" s="112" t="s">
        <v>1995</v>
      </c>
      <c r="B176" s="120" t="s">
        <v>2207</v>
      </c>
      <c r="C176" s="152" t="s">
        <v>2208</v>
      </c>
      <c r="D176" s="152" t="s">
        <v>2209</v>
      </c>
      <c r="G176" s="152">
        <v>6.0136786E7</v>
      </c>
      <c r="H176" s="152" t="s">
        <v>2210</v>
      </c>
      <c r="I176" s="99"/>
      <c r="K176" s="112" t="s">
        <v>1995</v>
      </c>
      <c r="L176" s="154"/>
    </row>
    <row r="177">
      <c r="A177" s="113"/>
      <c r="B177" s="154"/>
      <c r="I177" s="99"/>
      <c r="K177" s="113"/>
      <c r="L177" s="154"/>
    </row>
    <row r="178">
      <c r="A178" s="113"/>
      <c r="B178" s="154"/>
      <c r="I178" s="99"/>
      <c r="K178" s="113"/>
      <c r="L178" s="154"/>
    </row>
    <row r="179">
      <c r="A179" s="114">
        <v>33.0</v>
      </c>
      <c r="B179" s="201" t="s">
        <v>1428</v>
      </c>
      <c r="C179" s="116" t="s">
        <v>1429</v>
      </c>
      <c r="D179" s="117"/>
      <c r="E179" s="117"/>
      <c r="F179" s="117"/>
      <c r="G179" s="117"/>
      <c r="H179" s="117"/>
      <c r="I179" s="118"/>
      <c r="J179" s="117"/>
      <c r="K179" s="114">
        <v>34.0</v>
      </c>
      <c r="L179" s="201" t="s">
        <v>1479</v>
      </c>
      <c r="M179" s="116" t="s">
        <v>1480</v>
      </c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17"/>
      <c r="AH179" s="117"/>
      <c r="AI179" s="117"/>
      <c r="AJ179" s="117"/>
      <c r="AK179" s="117"/>
      <c r="AL179" s="117"/>
      <c r="AM179" s="117"/>
      <c r="AN179" s="117"/>
      <c r="AO179" s="117"/>
      <c r="AP179" s="117"/>
      <c r="AQ179" s="117"/>
      <c r="AR179" s="117"/>
      <c r="AS179" s="117"/>
      <c r="AT179" s="117"/>
      <c r="AU179" s="117"/>
      <c r="AV179" s="117"/>
      <c r="AW179" s="117"/>
      <c r="AX179" s="117"/>
      <c r="AY179" s="117"/>
      <c r="AZ179" s="117"/>
      <c r="BA179" s="117"/>
      <c r="BB179" s="117"/>
      <c r="BC179" s="113"/>
      <c r="BD179" s="113"/>
      <c r="BE179" s="113"/>
    </row>
    <row r="180">
      <c r="A180" s="113"/>
      <c r="B180" s="120" t="s">
        <v>1976</v>
      </c>
      <c r="C180" s="121" t="s">
        <v>1432</v>
      </c>
      <c r="D180" s="122">
        <v>6.2346159E7</v>
      </c>
      <c r="E180" s="123" t="s">
        <v>1434</v>
      </c>
      <c r="F180" s="122">
        <v>9164266.0</v>
      </c>
      <c r="I180" s="124" t="s">
        <v>1977</v>
      </c>
      <c r="K180" s="113"/>
      <c r="L180" s="120" t="s">
        <v>1976</v>
      </c>
      <c r="M180" s="121" t="s">
        <v>1483</v>
      </c>
      <c r="N180" s="123" t="s">
        <v>1484</v>
      </c>
      <c r="O180" s="123" t="s">
        <v>1486</v>
      </c>
      <c r="P180" s="122">
        <v>6276877.0</v>
      </c>
      <c r="S180" s="246" t="s">
        <v>2026</v>
      </c>
    </row>
    <row r="181">
      <c r="A181" s="112">
        <v>1.0</v>
      </c>
      <c r="B181" s="120" t="s">
        <v>1982</v>
      </c>
      <c r="C181" s="129" t="s">
        <v>1435</v>
      </c>
      <c r="D181" s="130" t="s">
        <v>1436</v>
      </c>
      <c r="E181" s="144" t="s">
        <v>1437</v>
      </c>
      <c r="F181" s="132" t="s">
        <v>238</v>
      </c>
      <c r="G181" s="130" t="s">
        <v>1439</v>
      </c>
      <c r="H181" s="130" t="s">
        <v>1440</v>
      </c>
      <c r="I181" s="134" t="s">
        <v>2052</v>
      </c>
      <c r="K181" s="112">
        <v>1.0</v>
      </c>
      <c r="L181" s="120" t="s">
        <v>1982</v>
      </c>
      <c r="M181" s="129" t="s">
        <v>1487</v>
      </c>
      <c r="N181" s="130" t="s">
        <v>1488</v>
      </c>
      <c r="O181" s="163" t="s">
        <v>1489</v>
      </c>
      <c r="P181" s="192" t="s">
        <v>238</v>
      </c>
      <c r="Q181" s="130" t="s">
        <v>1491</v>
      </c>
      <c r="R181" s="130" t="s">
        <v>1492</v>
      </c>
      <c r="S181" s="152"/>
    </row>
    <row r="182">
      <c r="A182" s="112">
        <v>2.0</v>
      </c>
      <c r="B182" s="120" t="s">
        <v>1984</v>
      </c>
      <c r="C182" s="129" t="s">
        <v>1441</v>
      </c>
      <c r="D182" s="130" t="s">
        <v>1442</v>
      </c>
      <c r="E182" s="163" t="s">
        <v>1443</v>
      </c>
      <c r="F182" s="192" t="s">
        <v>238</v>
      </c>
      <c r="G182" s="130" t="s">
        <v>1445</v>
      </c>
      <c r="H182" s="130" t="s">
        <v>1446</v>
      </c>
      <c r="I182" s="102" t="s">
        <v>2211</v>
      </c>
      <c r="K182" s="112">
        <v>2.0</v>
      </c>
      <c r="L182" s="120" t="s">
        <v>1984</v>
      </c>
      <c r="M182" s="129" t="s">
        <v>1493</v>
      </c>
      <c r="N182" s="176" t="s">
        <v>2212</v>
      </c>
      <c r="O182" s="131" t="s">
        <v>1495</v>
      </c>
      <c r="P182" s="189" t="s">
        <v>238</v>
      </c>
      <c r="Q182" s="130" t="s">
        <v>1484</v>
      </c>
      <c r="R182" s="130" t="s">
        <v>1486</v>
      </c>
    </row>
    <row r="183">
      <c r="A183" s="112">
        <v>3.0</v>
      </c>
      <c r="B183" s="120" t="s">
        <v>1985</v>
      </c>
      <c r="C183" s="129" t="s">
        <v>1448</v>
      </c>
      <c r="D183" s="130" t="s">
        <v>1449</v>
      </c>
      <c r="E183" s="144" t="s">
        <v>1450</v>
      </c>
      <c r="F183" s="132" t="s">
        <v>238</v>
      </c>
      <c r="G183" s="130" t="s">
        <v>1452</v>
      </c>
      <c r="H183" s="130" t="s">
        <v>1453</v>
      </c>
      <c r="I183" s="99"/>
      <c r="K183" s="112">
        <v>3.0</v>
      </c>
      <c r="L183" s="120" t="s">
        <v>1985</v>
      </c>
      <c r="M183" s="129" t="s">
        <v>1497</v>
      </c>
      <c r="N183" s="130" t="s">
        <v>1498</v>
      </c>
      <c r="O183" s="163" t="s">
        <v>1499</v>
      </c>
      <c r="P183" s="192" t="s">
        <v>238</v>
      </c>
      <c r="Q183" s="133">
        <v>7.530345E7</v>
      </c>
      <c r="R183" s="130" t="s">
        <v>1501</v>
      </c>
    </row>
    <row r="184">
      <c r="A184" s="112">
        <v>4.0</v>
      </c>
      <c r="B184" s="120" t="s">
        <v>1986</v>
      </c>
      <c r="C184" s="129" t="s">
        <v>1454</v>
      </c>
      <c r="D184" s="130" t="s">
        <v>1455</v>
      </c>
      <c r="E184" s="131" t="s">
        <v>1456</v>
      </c>
      <c r="F184" s="189" t="s">
        <v>238</v>
      </c>
      <c r="G184" s="133">
        <v>6.2346159E7</v>
      </c>
      <c r="H184" s="130" t="s">
        <v>1434</v>
      </c>
      <c r="I184" s="99"/>
      <c r="K184" s="112">
        <v>4.0</v>
      </c>
      <c r="L184" s="120" t="s">
        <v>1986</v>
      </c>
      <c r="M184" s="129" t="s">
        <v>1502</v>
      </c>
      <c r="N184" s="130" t="s">
        <v>1503</v>
      </c>
      <c r="O184" s="183" t="s">
        <v>1504</v>
      </c>
      <c r="P184" s="247" t="s">
        <v>238</v>
      </c>
      <c r="Q184" s="130" t="s">
        <v>1506</v>
      </c>
      <c r="R184" s="130" t="s">
        <v>1507</v>
      </c>
    </row>
    <row r="185">
      <c r="A185" s="112">
        <v>5.0</v>
      </c>
      <c r="B185" s="120" t="s">
        <v>1988</v>
      </c>
      <c r="C185" s="248" t="s">
        <v>1458</v>
      </c>
      <c r="D185" s="249" t="s">
        <v>1459</v>
      </c>
      <c r="E185" s="250" t="s">
        <v>1460</v>
      </c>
      <c r="F185" s="251" t="s">
        <v>238</v>
      </c>
      <c r="G185" s="249" t="s">
        <v>1462</v>
      </c>
      <c r="H185" s="249" t="s">
        <v>1463</v>
      </c>
      <c r="I185" s="252" t="s">
        <v>2213</v>
      </c>
      <c r="K185" s="112">
        <v>5.0</v>
      </c>
      <c r="L185" s="120" t="s">
        <v>1988</v>
      </c>
      <c r="M185" s="129" t="s">
        <v>1508</v>
      </c>
      <c r="N185" s="130" t="s">
        <v>1509</v>
      </c>
      <c r="O185" s="144" t="s">
        <v>1510</v>
      </c>
      <c r="P185" s="132" t="s">
        <v>238</v>
      </c>
      <c r="Q185" s="130" t="s">
        <v>1512</v>
      </c>
      <c r="R185" s="130" t="s">
        <v>1513</v>
      </c>
    </row>
    <row r="186">
      <c r="A186" s="112" t="s">
        <v>1989</v>
      </c>
      <c r="B186" s="186" t="s">
        <v>1990</v>
      </c>
      <c r="C186" s="181" t="s">
        <v>2214</v>
      </c>
      <c r="D186" s="152" t="s">
        <v>2215</v>
      </c>
      <c r="E186" s="253" t="s">
        <v>2216</v>
      </c>
      <c r="F186" s="152" t="s">
        <v>2185</v>
      </c>
      <c r="I186" s="99"/>
      <c r="K186" s="112" t="s">
        <v>1989</v>
      </c>
      <c r="L186" s="120" t="s">
        <v>2064</v>
      </c>
      <c r="M186" s="229" t="s">
        <v>2217</v>
      </c>
      <c r="N186" s="152" t="s">
        <v>2218</v>
      </c>
      <c r="O186" s="199" t="s">
        <v>1515</v>
      </c>
      <c r="Q186" s="175">
        <v>7.8163568E7</v>
      </c>
      <c r="R186" s="175" t="s">
        <v>2219</v>
      </c>
    </row>
    <row r="187">
      <c r="A187" s="112" t="s">
        <v>1995</v>
      </c>
      <c r="B187" s="120" t="s">
        <v>2055</v>
      </c>
      <c r="C187" s="152" t="s">
        <v>2220</v>
      </c>
      <c r="D187" s="152" t="s">
        <v>2221</v>
      </c>
      <c r="E187" s="182" t="s">
        <v>2222</v>
      </c>
      <c r="F187" s="152" t="s">
        <v>2223</v>
      </c>
      <c r="I187" s="99"/>
      <c r="K187" s="112" t="s">
        <v>1995</v>
      </c>
      <c r="L187" s="120" t="s">
        <v>1988</v>
      </c>
      <c r="M187" s="254" t="s">
        <v>2224</v>
      </c>
      <c r="N187" s="254" t="s">
        <v>2225</v>
      </c>
    </row>
    <row r="188">
      <c r="A188" s="113"/>
      <c r="B188" s="120" t="s">
        <v>2055</v>
      </c>
      <c r="C188" s="152" t="s">
        <v>2226</v>
      </c>
      <c r="D188" s="152" t="s">
        <v>2227</v>
      </c>
      <c r="E188" s="155" t="s">
        <v>2228</v>
      </c>
      <c r="G188" s="152">
        <v>6.2335791E7</v>
      </c>
      <c r="H188" s="152" t="s">
        <v>2229</v>
      </c>
      <c r="I188" s="99"/>
      <c r="K188" s="113"/>
      <c r="L188" s="154"/>
    </row>
    <row r="189">
      <c r="A189" s="113"/>
      <c r="B189" s="154"/>
      <c r="I189" s="99"/>
      <c r="K189" s="113"/>
      <c r="L189" s="154"/>
    </row>
    <row r="190">
      <c r="A190" s="114">
        <v>35.0</v>
      </c>
      <c r="B190" s="216" t="s">
        <v>1517</v>
      </c>
      <c r="C190" s="255" t="s">
        <v>1518</v>
      </c>
      <c r="D190" s="117"/>
      <c r="E190" s="117"/>
      <c r="F190" s="117"/>
      <c r="G190" s="117"/>
      <c r="H190" s="117"/>
      <c r="I190" s="118"/>
      <c r="J190" s="117"/>
      <c r="K190" s="114">
        <v>36.0</v>
      </c>
      <c r="L190" s="201" t="s">
        <v>1548</v>
      </c>
      <c r="M190" s="116" t="s">
        <v>1549</v>
      </c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17"/>
      <c r="AH190" s="117"/>
      <c r="AI190" s="117"/>
      <c r="AJ190" s="117"/>
      <c r="AK190" s="117"/>
      <c r="AL190" s="117"/>
      <c r="AM190" s="117"/>
      <c r="AN190" s="117"/>
      <c r="AO190" s="117"/>
      <c r="AP190" s="117"/>
      <c r="AQ190" s="117"/>
      <c r="AR190" s="117"/>
      <c r="AS190" s="117"/>
      <c r="AT190" s="117"/>
      <c r="AU190" s="117"/>
      <c r="AV190" s="117"/>
      <c r="AW190" s="117"/>
      <c r="AX190" s="117"/>
      <c r="AY190" s="117"/>
      <c r="AZ190" s="117"/>
      <c r="BA190" s="117"/>
      <c r="BB190" s="117"/>
      <c r="BC190" s="113"/>
      <c r="BD190" s="113"/>
      <c r="BE190" s="113"/>
    </row>
    <row r="191">
      <c r="A191" s="113"/>
      <c r="B191" s="120" t="s">
        <v>1976</v>
      </c>
      <c r="C191" s="135" t="s">
        <v>1535</v>
      </c>
      <c r="D191" s="161" t="s">
        <v>1521</v>
      </c>
      <c r="E191" s="161" t="s">
        <v>1523</v>
      </c>
      <c r="F191" s="126">
        <v>1.5427836E7</v>
      </c>
      <c r="I191" s="256" t="s">
        <v>1981</v>
      </c>
      <c r="K191" s="113"/>
      <c r="L191" s="120" t="s">
        <v>1976</v>
      </c>
      <c r="M191" s="121" t="s">
        <v>1552</v>
      </c>
      <c r="N191" s="122">
        <v>7.3090065E7</v>
      </c>
      <c r="O191" s="123" t="s">
        <v>1554</v>
      </c>
      <c r="P191" s="122">
        <v>9992099.0</v>
      </c>
      <c r="S191" s="175" t="s">
        <v>2026</v>
      </c>
    </row>
    <row r="192">
      <c r="A192" s="112">
        <v>1.0</v>
      </c>
      <c r="B192" s="120" t="s">
        <v>1982</v>
      </c>
      <c r="C192" s="257" t="s">
        <v>2230</v>
      </c>
      <c r="D192" s="136" t="s">
        <v>1524</v>
      </c>
      <c r="E192" s="144" t="s">
        <v>1525</v>
      </c>
      <c r="F192" s="146" t="s">
        <v>238</v>
      </c>
      <c r="G192" s="136" t="s">
        <v>1527</v>
      </c>
      <c r="H192" s="136" t="s">
        <v>1528</v>
      </c>
      <c r="I192" s="99"/>
      <c r="K192" s="112">
        <v>1.0</v>
      </c>
      <c r="L192" s="120" t="s">
        <v>1982</v>
      </c>
      <c r="M192" s="129" t="s">
        <v>1555</v>
      </c>
      <c r="N192" s="130" t="s">
        <v>1556</v>
      </c>
      <c r="O192" s="163" t="s">
        <v>1557</v>
      </c>
      <c r="P192" s="192" t="s">
        <v>238</v>
      </c>
      <c r="Q192" s="133">
        <v>6.7777366E7</v>
      </c>
      <c r="R192" s="130" t="s">
        <v>1559</v>
      </c>
    </row>
    <row r="193">
      <c r="A193" s="112">
        <v>2.0</v>
      </c>
      <c r="B193" s="120" t="s">
        <v>1984</v>
      </c>
      <c r="C193" s="135" t="s">
        <v>1529</v>
      </c>
      <c r="D193" s="202" t="s">
        <v>2231</v>
      </c>
      <c r="E193" s="163" t="s">
        <v>1531</v>
      </c>
      <c r="F193" s="192" t="s">
        <v>238</v>
      </c>
      <c r="G193" s="136" t="s">
        <v>1533</v>
      </c>
      <c r="H193" s="136" t="s">
        <v>1534</v>
      </c>
      <c r="I193" s="99"/>
      <c r="K193" s="112">
        <v>2.0</v>
      </c>
      <c r="L193" s="120" t="s">
        <v>1984</v>
      </c>
      <c r="M193" s="129" t="s">
        <v>1560</v>
      </c>
      <c r="N193" s="130" t="s">
        <v>1561</v>
      </c>
      <c r="O193" s="137" t="s">
        <v>1562</v>
      </c>
      <c r="P193" s="138" t="s">
        <v>238</v>
      </c>
      <c r="Q193" s="133">
        <v>6.705387E7</v>
      </c>
      <c r="R193" s="130" t="s">
        <v>1564</v>
      </c>
    </row>
    <row r="194">
      <c r="A194" s="112">
        <v>3.0</v>
      </c>
      <c r="B194" s="120" t="s">
        <v>1985</v>
      </c>
      <c r="C194" s="135" t="s">
        <v>1535</v>
      </c>
      <c r="D194" s="136" t="s">
        <v>1536</v>
      </c>
      <c r="E194" s="144" t="s">
        <v>1537</v>
      </c>
      <c r="F194" s="132" t="s">
        <v>225</v>
      </c>
      <c r="G194" s="136" t="s">
        <v>1521</v>
      </c>
      <c r="H194" s="136" t="s">
        <v>1523</v>
      </c>
      <c r="I194" s="99"/>
      <c r="K194" s="112">
        <v>3.0</v>
      </c>
      <c r="L194" s="120" t="s">
        <v>1985</v>
      </c>
      <c r="M194" s="129" t="s">
        <v>1552</v>
      </c>
      <c r="N194" s="130" t="s">
        <v>1565</v>
      </c>
      <c r="O194" s="137" t="s">
        <v>1566</v>
      </c>
      <c r="P194" s="138" t="s">
        <v>238</v>
      </c>
      <c r="Q194" s="133">
        <v>7.3090065E7</v>
      </c>
      <c r="R194" s="130" t="s">
        <v>1554</v>
      </c>
    </row>
    <row r="195">
      <c r="A195" s="112">
        <v>4.0</v>
      </c>
      <c r="B195" s="120" t="s">
        <v>1986</v>
      </c>
      <c r="C195" s="152" t="s">
        <v>2232</v>
      </c>
      <c r="D195" s="152" t="s">
        <v>2233</v>
      </c>
      <c r="G195" s="152">
        <v>7.5779001E7</v>
      </c>
      <c r="H195" s="152" t="s">
        <v>2234</v>
      </c>
      <c r="I195" s="99"/>
      <c r="K195" s="112">
        <v>4.0</v>
      </c>
      <c r="L195" s="120" t="s">
        <v>1986</v>
      </c>
      <c r="M195" s="129" t="s">
        <v>1568</v>
      </c>
      <c r="N195" s="130" t="s">
        <v>1569</v>
      </c>
      <c r="O195" s="131" t="s">
        <v>1570</v>
      </c>
      <c r="P195" s="189" t="s">
        <v>238</v>
      </c>
      <c r="Q195" s="133">
        <v>7.4683581E7</v>
      </c>
      <c r="R195" s="130" t="s">
        <v>1572</v>
      </c>
    </row>
    <row r="196">
      <c r="A196" s="112">
        <v>5.0</v>
      </c>
      <c r="B196" s="120" t="s">
        <v>1988</v>
      </c>
      <c r="C196" s="257" t="s">
        <v>2235</v>
      </c>
      <c r="D196" s="152" t="s">
        <v>2236</v>
      </c>
      <c r="I196" s="99"/>
      <c r="K196" s="112">
        <v>5.0</v>
      </c>
      <c r="L196" s="120" t="s">
        <v>1988</v>
      </c>
      <c r="M196" s="129" t="s">
        <v>1573</v>
      </c>
      <c r="N196" s="130" t="s">
        <v>1574</v>
      </c>
      <c r="O196" s="144" t="s">
        <v>1575</v>
      </c>
      <c r="P196" s="146" t="s">
        <v>238</v>
      </c>
      <c r="Q196" s="133">
        <v>7.5693232E7</v>
      </c>
      <c r="R196" s="130" t="s">
        <v>1577</v>
      </c>
    </row>
    <row r="197">
      <c r="A197" s="112" t="s">
        <v>1989</v>
      </c>
      <c r="B197" s="186" t="s">
        <v>2237</v>
      </c>
      <c r="C197" s="258"/>
      <c r="D197" s="259" t="s">
        <v>2238</v>
      </c>
      <c r="E197" s="184" t="s">
        <v>1546</v>
      </c>
      <c r="G197" s="258"/>
      <c r="H197" s="258"/>
      <c r="I197" s="99"/>
      <c r="K197" s="112" t="s">
        <v>1989</v>
      </c>
      <c r="L197" s="120" t="s">
        <v>2239</v>
      </c>
      <c r="M197" s="229" t="s">
        <v>2240</v>
      </c>
      <c r="N197" s="152" t="s">
        <v>2241</v>
      </c>
      <c r="O197" s="199" t="s">
        <v>1579</v>
      </c>
      <c r="P197" s="152" t="s">
        <v>2185</v>
      </c>
      <c r="Q197" s="150"/>
      <c r="R197" s="150"/>
    </row>
    <row r="198">
      <c r="A198" s="112" t="s">
        <v>1995</v>
      </c>
      <c r="B198" s="154"/>
      <c r="C198" s="260"/>
      <c r="D198" s="136" t="s">
        <v>1539</v>
      </c>
      <c r="E198" s="144" t="s">
        <v>1540</v>
      </c>
      <c r="F198" s="146" t="s">
        <v>238</v>
      </c>
      <c r="G198" s="136" t="s">
        <v>1541</v>
      </c>
      <c r="H198" s="261"/>
      <c r="I198" s="99"/>
      <c r="K198" s="112" t="s">
        <v>1995</v>
      </c>
      <c r="L198" s="154"/>
    </row>
    <row r="199">
      <c r="A199" s="113"/>
      <c r="B199" s="154"/>
      <c r="D199" s="136" t="s">
        <v>1542</v>
      </c>
      <c r="E199" s="137" t="s">
        <v>1543</v>
      </c>
      <c r="F199" s="138" t="s">
        <v>238</v>
      </c>
      <c r="G199" s="132" t="s">
        <v>1544</v>
      </c>
      <c r="H199" s="261"/>
      <c r="I199" s="99"/>
      <c r="K199" s="113"/>
      <c r="L199" s="154"/>
    </row>
    <row r="200">
      <c r="A200" s="113"/>
      <c r="B200" s="154"/>
      <c r="I200" s="99"/>
      <c r="K200" s="113"/>
      <c r="L200" s="154"/>
    </row>
    <row r="201">
      <c r="A201" s="114">
        <v>37.0</v>
      </c>
      <c r="B201" s="200" t="s">
        <v>1581</v>
      </c>
      <c r="C201" s="119" t="s">
        <v>1582</v>
      </c>
      <c r="D201" s="117"/>
      <c r="E201" s="117"/>
      <c r="F201" s="117"/>
      <c r="G201" s="117"/>
      <c r="H201" s="117"/>
      <c r="I201" s="118"/>
      <c r="J201" s="117"/>
      <c r="K201" s="114">
        <v>38.0</v>
      </c>
      <c r="L201" s="201" t="s">
        <v>1609</v>
      </c>
      <c r="M201" s="116" t="s">
        <v>1610</v>
      </c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17"/>
      <c r="AH201" s="117"/>
      <c r="AI201" s="117"/>
      <c r="AJ201" s="117"/>
      <c r="AK201" s="117"/>
      <c r="AL201" s="117"/>
      <c r="AM201" s="117"/>
      <c r="AN201" s="117"/>
      <c r="AO201" s="117"/>
      <c r="AP201" s="117"/>
      <c r="AQ201" s="117"/>
      <c r="AR201" s="117"/>
      <c r="AS201" s="117"/>
      <c r="AT201" s="117"/>
      <c r="AU201" s="117"/>
      <c r="AV201" s="117"/>
      <c r="AW201" s="117"/>
      <c r="AX201" s="117"/>
      <c r="AY201" s="117"/>
      <c r="AZ201" s="117"/>
      <c r="BA201" s="117"/>
      <c r="BB201" s="117"/>
      <c r="BC201" s="113"/>
      <c r="BD201" s="113"/>
      <c r="BE201" s="113"/>
    </row>
    <row r="202">
      <c r="A202" s="113"/>
      <c r="B202" s="120" t="s">
        <v>1976</v>
      </c>
      <c r="C202" s="160" t="s">
        <v>1585</v>
      </c>
      <c r="D202" s="126">
        <v>7.4764086E7</v>
      </c>
      <c r="E202" s="161" t="s">
        <v>1587</v>
      </c>
      <c r="F202" s="126">
        <v>7636750.0</v>
      </c>
      <c r="I202" s="256" t="s">
        <v>1981</v>
      </c>
      <c r="K202" s="113"/>
      <c r="L202" s="120" t="s">
        <v>1976</v>
      </c>
      <c r="M202" s="121" t="s">
        <v>1612</v>
      </c>
      <c r="N202" s="122">
        <v>7.5467473E7</v>
      </c>
      <c r="O202" s="123" t="s">
        <v>1614</v>
      </c>
      <c r="P202" s="123" t="s">
        <v>1615</v>
      </c>
      <c r="S202" s="162" t="s">
        <v>1981</v>
      </c>
    </row>
    <row r="203">
      <c r="A203" s="112">
        <v>1.0</v>
      </c>
      <c r="B203" s="120" t="s">
        <v>1982</v>
      </c>
      <c r="C203" s="135" t="s">
        <v>1588</v>
      </c>
      <c r="D203" s="136" t="s">
        <v>1589</v>
      </c>
      <c r="E203" s="144" t="s">
        <v>1590</v>
      </c>
      <c r="F203" s="132" t="s">
        <v>238</v>
      </c>
      <c r="G203" s="139">
        <v>7.5106949E7</v>
      </c>
      <c r="H203" s="136" t="s">
        <v>1592</v>
      </c>
      <c r="I203" s="99"/>
      <c r="K203" s="112">
        <v>1.0</v>
      </c>
      <c r="L203" s="120" t="s">
        <v>1982</v>
      </c>
      <c r="M203" s="152" t="s">
        <v>2242</v>
      </c>
      <c r="N203" s="152" t="s">
        <v>2243</v>
      </c>
      <c r="O203" s="155" t="s">
        <v>2244</v>
      </c>
      <c r="Q203" s="167">
        <f>13602063200</f>
        <v>13602063200</v>
      </c>
      <c r="R203" s="152" t="s">
        <v>2245</v>
      </c>
    </row>
    <row r="204">
      <c r="A204" s="112">
        <v>2.0</v>
      </c>
      <c r="B204" s="120" t="s">
        <v>1984</v>
      </c>
      <c r="C204" s="135" t="s">
        <v>1593</v>
      </c>
      <c r="D204" s="136" t="s">
        <v>1594</v>
      </c>
      <c r="E204" s="163" t="s">
        <v>1595</v>
      </c>
      <c r="F204" s="192" t="s">
        <v>238</v>
      </c>
      <c r="G204" s="139">
        <v>7.5105897E7</v>
      </c>
      <c r="H204" s="136" t="s">
        <v>1596</v>
      </c>
      <c r="I204" s="99"/>
      <c r="K204" s="112">
        <v>2.0</v>
      </c>
      <c r="L204" s="120" t="s">
        <v>1984</v>
      </c>
      <c r="M204" s="129" t="s">
        <v>1621</v>
      </c>
      <c r="N204" s="130" t="s">
        <v>1622</v>
      </c>
      <c r="O204" s="137" t="s">
        <v>1623</v>
      </c>
      <c r="P204" s="138" t="s">
        <v>238</v>
      </c>
      <c r="Q204" s="133">
        <v>7.079642E7</v>
      </c>
      <c r="R204" s="130" t="s">
        <v>1625</v>
      </c>
    </row>
    <row r="205">
      <c r="A205" s="112">
        <v>3.0</v>
      </c>
      <c r="B205" s="120" t="s">
        <v>1985</v>
      </c>
      <c r="C205" s="135" t="s">
        <v>1597</v>
      </c>
      <c r="D205" s="136" t="s">
        <v>1598</v>
      </c>
      <c r="E205" s="222" t="s">
        <v>1599</v>
      </c>
      <c r="F205" s="146" t="s">
        <v>238</v>
      </c>
      <c r="G205" s="139">
        <v>6.7664812E7</v>
      </c>
      <c r="H205" s="136" t="s">
        <v>1600</v>
      </c>
      <c r="I205" s="99"/>
      <c r="K205" s="112">
        <v>3.0</v>
      </c>
      <c r="L205" s="120" t="s">
        <v>1985</v>
      </c>
      <c r="M205" s="129" t="s">
        <v>1612</v>
      </c>
      <c r="N205" s="165" t="s">
        <v>2246</v>
      </c>
      <c r="O205" s="144" t="s">
        <v>1627</v>
      </c>
      <c r="P205" s="146" t="s">
        <v>238</v>
      </c>
      <c r="Q205" s="133">
        <v>7.5467473E7</v>
      </c>
      <c r="R205" s="130" t="s">
        <v>1614</v>
      </c>
    </row>
    <row r="206">
      <c r="A206" s="112">
        <v>4.0</v>
      </c>
      <c r="B206" s="120" t="s">
        <v>1986</v>
      </c>
      <c r="C206" s="135" t="s">
        <v>1601</v>
      </c>
      <c r="D206" s="136" t="s">
        <v>1602</v>
      </c>
      <c r="E206" s="137" t="s">
        <v>1603</v>
      </c>
      <c r="F206" s="138" t="s">
        <v>238</v>
      </c>
      <c r="G206" s="139">
        <v>7.1114347E7</v>
      </c>
      <c r="H206" s="136" t="s">
        <v>1604</v>
      </c>
      <c r="I206" s="99"/>
      <c r="K206" s="112">
        <v>4.0</v>
      </c>
      <c r="L206" s="120" t="s">
        <v>1986</v>
      </c>
      <c r="M206" s="129" t="s">
        <v>1616</v>
      </c>
      <c r="N206" s="130" t="s">
        <v>1617</v>
      </c>
      <c r="O206" s="137" t="s">
        <v>1618</v>
      </c>
      <c r="P206" s="138" t="s">
        <v>238</v>
      </c>
      <c r="Q206" s="133">
        <v>6.8514978E7</v>
      </c>
      <c r="R206" s="130" t="s">
        <v>1620</v>
      </c>
    </row>
    <row r="207">
      <c r="A207" s="112">
        <v>5.0</v>
      </c>
      <c r="B207" s="120" t="s">
        <v>1988</v>
      </c>
      <c r="C207" s="135" t="s">
        <v>1585</v>
      </c>
      <c r="D207" s="136" t="s">
        <v>1605</v>
      </c>
      <c r="E207" s="144" t="s">
        <v>1606</v>
      </c>
      <c r="F207" s="132" t="s">
        <v>238</v>
      </c>
      <c r="G207" s="139">
        <v>7.4764086E7</v>
      </c>
      <c r="H207" s="136" t="s">
        <v>1587</v>
      </c>
      <c r="I207" s="99"/>
      <c r="K207" s="112">
        <v>5.0</v>
      </c>
      <c r="L207" s="120" t="s">
        <v>1988</v>
      </c>
      <c r="M207" s="239" t="s">
        <v>2247</v>
      </c>
      <c r="N207" s="152" t="s">
        <v>2248</v>
      </c>
      <c r="O207" s="199" t="s">
        <v>1640</v>
      </c>
      <c r="Q207" s="171">
        <v>7.0367263E7</v>
      </c>
      <c r="R207" s="171" t="s">
        <v>2249</v>
      </c>
    </row>
    <row r="208">
      <c r="A208" s="112" t="s">
        <v>1989</v>
      </c>
      <c r="B208" s="120" t="s">
        <v>2019</v>
      </c>
      <c r="C208" s="229" t="s">
        <v>2250</v>
      </c>
      <c r="D208" s="152" t="s">
        <v>2251</v>
      </c>
      <c r="E208" s="184" t="s">
        <v>1608</v>
      </c>
      <c r="G208" s="150"/>
      <c r="H208" s="150"/>
      <c r="I208" s="99"/>
      <c r="K208" s="112" t="s">
        <v>1989</v>
      </c>
      <c r="L208" s="120" t="s">
        <v>2199</v>
      </c>
      <c r="M208" s="129" t="s">
        <v>1629</v>
      </c>
      <c r="N208" s="130" t="s">
        <v>1630</v>
      </c>
      <c r="O208" s="163" t="s">
        <v>1631</v>
      </c>
      <c r="P208" s="146" t="s">
        <v>238</v>
      </c>
      <c r="Q208" s="133">
        <v>7.6455637E7</v>
      </c>
      <c r="R208" s="130" t="s">
        <v>1633</v>
      </c>
    </row>
    <row r="209">
      <c r="A209" s="112" t="s">
        <v>1995</v>
      </c>
      <c r="B209" s="120" t="s">
        <v>2064</v>
      </c>
      <c r="C209" s="152" t="s">
        <v>2252</v>
      </c>
      <c r="D209" s="152" t="s">
        <v>2253</v>
      </c>
      <c r="G209" s="150"/>
      <c r="H209" s="150"/>
      <c r="I209" s="99"/>
      <c r="K209" s="112" t="s">
        <v>1995</v>
      </c>
      <c r="L209" s="120" t="s">
        <v>2064</v>
      </c>
      <c r="M209" s="129" t="s">
        <v>1634</v>
      </c>
      <c r="N209" s="130" t="s">
        <v>1635</v>
      </c>
      <c r="O209" s="144" t="s">
        <v>1636</v>
      </c>
      <c r="P209" s="146" t="s">
        <v>238</v>
      </c>
      <c r="Q209" s="133">
        <v>7.5988033E7</v>
      </c>
      <c r="R209" s="130" t="s">
        <v>1638</v>
      </c>
    </row>
    <row r="210">
      <c r="A210" s="113"/>
      <c r="B210" s="154"/>
      <c r="I210" s="99"/>
      <c r="K210" s="113"/>
      <c r="L210" s="154"/>
    </row>
    <row r="211">
      <c r="A211" s="113"/>
      <c r="B211" s="154"/>
      <c r="I211" s="99"/>
      <c r="K211" s="113"/>
      <c r="L211" s="154"/>
    </row>
    <row r="212">
      <c r="A212" s="114">
        <v>39.0</v>
      </c>
      <c r="B212" s="200" t="s">
        <v>1642</v>
      </c>
      <c r="C212" s="119" t="s">
        <v>1643</v>
      </c>
      <c r="D212" s="117"/>
      <c r="E212" s="117"/>
      <c r="F212" s="117"/>
      <c r="G212" s="117"/>
      <c r="H212" s="117"/>
      <c r="I212" s="118"/>
      <c r="J212" s="117"/>
      <c r="K212" s="114">
        <v>40.0</v>
      </c>
      <c r="L212" s="262" t="s">
        <v>1675</v>
      </c>
      <c r="M212" s="116" t="s">
        <v>1676</v>
      </c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17"/>
      <c r="AH212" s="117"/>
      <c r="AI212" s="117"/>
      <c r="AJ212" s="117"/>
      <c r="AK212" s="117"/>
      <c r="AL212" s="117"/>
      <c r="AM212" s="117"/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/>
      <c r="BB212" s="117"/>
      <c r="BC212" s="113"/>
      <c r="BD212" s="113"/>
      <c r="BE212" s="113"/>
    </row>
    <row r="213">
      <c r="A213" s="113"/>
      <c r="B213" s="120" t="s">
        <v>1976</v>
      </c>
      <c r="C213" s="160" t="s">
        <v>1646</v>
      </c>
      <c r="D213" s="126">
        <v>7.7201629E7</v>
      </c>
      <c r="E213" s="161" t="s">
        <v>1648</v>
      </c>
      <c r="F213" s="126">
        <v>1.3631098E7</v>
      </c>
      <c r="I213" s="124" t="s">
        <v>1977</v>
      </c>
      <c r="K213" s="113"/>
      <c r="L213" s="120" t="s">
        <v>1976</v>
      </c>
      <c r="M213" s="121" t="s">
        <v>1679</v>
      </c>
      <c r="N213" s="123" t="s">
        <v>1680</v>
      </c>
      <c r="O213" s="123" t="s">
        <v>1682</v>
      </c>
      <c r="P213" s="122">
        <v>8362523.0</v>
      </c>
      <c r="S213" s="175" t="s">
        <v>2026</v>
      </c>
    </row>
    <row r="214">
      <c r="A214" s="112">
        <v>1.0</v>
      </c>
      <c r="B214" s="120" t="s">
        <v>1982</v>
      </c>
      <c r="C214" s="135" t="s">
        <v>1649</v>
      </c>
      <c r="D214" s="136" t="s">
        <v>1650</v>
      </c>
      <c r="E214" s="144" t="s">
        <v>1651</v>
      </c>
      <c r="F214" s="146" t="s">
        <v>238</v>
      </c>
      <c r="G214" s="139">
        <v>6.7141384E7</v>
      </c>
      <c r="H214" s="136" t="s">
        <v>1653</v>
      </c>
      <c r="I214" s="263" t="s">
        <v>2254</v>
      </c>
      <c r="K214" s="112">
        <v>1.0</v>
      </c>
      <c r="L214" s="120" t="s">
        <v>1982</v>
      </c>
      <c r="M214" s="152" t="s">
        <v>2255</v>
      </c>
      <c r="N214" s="152" t="s">
        <v>2256</v>
      </c>
      <c r="O214" s="152" t="s">
        <v>2257</v>
      </c>
      <c r="Q214" s="152">
        <v>6.9355801E7</v>
      </c>
      <c r="R214" s="152" t="s">
        <v>2258</v>
      </c>
    </row>
    <row r="215">
      <c r="A215" s="112">
        <v>2.0</v>
      </c>
      <c r="B215" s="120" t="s">
        <v>1984</v>
      </c>
      <c r="C215" s="135" t="s">
        <v>1654</v>
      </c>
      <c r="D215" s="136" t="s">
        <v>1655</v>
      </c>
      <c r="E215" s="144" t="s">
        <v>1656</v>
      </c>
      <c r="F215" s="132" t="s">
        <v>238</v>
      </c>
      <c r="G215" s="139">
        <v>7.2558958E7</v>
      </c>
      <c r="H215" s="136" t="s">
        <v>1658</v>
      </c>
      <c r="I215" s="99"/>
      <c r="K215" s="112">
        <v>2.0</v>
      </c>
      <c r="L215" s="120" t="s">
        <v>1984</v>
      </c>
      <c r="M215" s="129" t="s">
        <v>1688</v>
      </c>
      <c r="N215" s="130" t="s">
        <v>1689</v>
      </c>
      <c r="O215" s="137" t="s">
        <v>1690</v>
      </c>
      <c r="P215" s="138" t="s">
        <v>238</v>
      </c>
      <c r="Q215" s="133">
        <v>6.5106971E7</v>
      </c>
      <c r="R215" s="130" t="s">
        <v>1692</v>
      </c>
    </row>
    <row r="216">
      <c r="A216" s="112">
        <v>3.0</v>
      </c>
      <c r="B216" s="120" t="s">
        <v>1985</v>
      </c>
      <c r="C216" s="135" t="s">
        <v>1659</v>
      </c>
      <c r="D216" s="136" t="s">
        <v>1660</v>
      </c>
      <c r="E216" s="147" t="s">
        <v>1661</v>
      </c>
      <c r="F216" s="148" t="s">
        <v>238</v>
      </c>
      <c r="G216" s="139">
        <v>7.6501822E7</v>
      </c>
      <c r="H216" s="136" t="s">
        <v>1663</v>
      </c>
      <c r="I216" s="99"/>
      <c r="K216" s="112">
        <v>3.0</v>
      </c>
      <c r="L216" s="120" t="s">
        <v>1985</v>
      </c>
      <c r="M216" s="151" t="s">
        <v>2259</v>
      </c>
      <c r="N216" s="152" t="s">
        <v>2260</v>
      </c>
      <c r="O216" s="199" t="s">
        <v>1708</v>
      </c>
      <c r="P216" s="132"/>
      <c r="Q216" s="165">
        <v>7.2542244E7</v>
      </c>
      <c r="R216" s="130"/>
    </row>
    <row r="217">
      <c r="A217" s="112">
        <v>4.0</v>
      </c>
      <c r="B217" s="120" t="s">
        <v>1986</v>
      </c>
      <c r="C217" s="135" t="s">
        <v>1646</v>
      </c>
      <c r="D217" s="136" t="s">
        <v>1664</v>
      </c>
      <c r="E217" s="137" t="s">
        <v>1665</v>
      </c>
      <c r="F217" s="138" t="s">
        <v>238</v>
      </c>
      <c r="G217" s="139">
        <v>7.7201629E7</v>
      </c>
      <c r="H217" s="136" t="s">
        <v>1667</v>
      </c>
      <c r="I217" s="99"/>
      <c r="K217" s="112">
        <v>4.0</v>
      </c>
      <c r="L217" s="120" t="s">
        <v>1986</v>
      </c>
      <c r="M217" s="129" t="s">
        <v>1683</v>
      </c>
      <c r="N217" s="130" t="s">
        <v>1684</v>
      </c>
      <c r="O217" s="144" t="s">
        <v>1685</v>
      </c>
      <c r="P217" s="132" t="s">
        <v>238</v>
      </c>
      <c r="Q217" s="133">
        <v>7.1420538E7</v>
      </c>
      <c r="R217" s="130" t="s">
        <v>1687</v>
      </c>
    </row>
    <row r="218">
      <c r="A218" s="112">
        <v>5.0</v>
      </c>
      <c r="B218" s="120" t="s">
        <v>1988</v>
      </c>
      <c r="C218" s="135" t="s">
        <v>1668</v>
      </c>
      <c r="D218" s="136" t="s">
        <v>1669</v>
      </c>
      <c r="E218" s="163" t="s">
        <v>1670</v>
      </c>
      <c r="F218" s="192" t="s">
        <v>238</v>
      </c>
      <c r="G218" s="139">
        <v>7.2731012E7</v>
      </c>
      <c r="H218" s="136" t="s">
        <v>1672</v>
      </c>
      <c r="I218" s="99"/>
      <c r="K218" s="112">
        <v>5.0</v>
      </c>
      <c r="L218" s="120" t="s">
        <v>1988</v>
      </c>
      <c r="M218" s="129" t="s">
        <v>1703</v>
      </c>
      <c r="N218" s="130" t="s">
        <v>1704</v>
      </c>
      <c r="O218" s="144" t="s">
        <v>1705</v>
      </c>
      <c r="P218" s="132" t="s">
        <v>238</v>
      </c>
      <c r="Q218" s="133">
        <v>7.7710793E7</v>
      </c>
      <c r="R218" s="130" t="s">
        <v>1706</v>
      </c>
    </row>
    <row r="219">
      <c r="A219" s="112" t="s">
        <v>1989</v>
      </c>
      <c r="B219" s="120" t="s">
        <v>2064</v>
      </c>
      <c r="C219" s="229" t="s">
        <v>2261</v>
      </c>
      <c r="D219" s="152" t="s">
        <v>2262</v>
      </c>
      <c r="E219" s="184" t="s">
        <v>1674</v>
      </c>
      <c r="G219" s="150"/>
      <c r="H219" s="150"/>
      <c r="I219" s="99"/>
      <c r="K219" s="112" t="s">
        <v>1989</v>
      </c>
      <c r="L219" s="120" t="s">
        <v>2055</v>
      </c>
      <c r="M219" s="129" t="s">
        <v>1693</v>
      </c>
      <c r="N219" s="130" t="s">
        <v>1694</v>
      </c>
      <c r="O219" s="131" t="s">
        <v>1695</v>
      </c>
      <c r="P219" s="132" t="s">
        <v>225</v>
      </c>
      <c r="Q219" s="130" t="s">
        <v>1696</v>
      </c>
      <c r="R219" s="130" t="s">
        <v>1697</v>
      </c>
    </row>
    <row r="220">
      <c r="A220" s="112" t="s">
        <v>1995</v>
      </c>
      <c r="B220" s="120" t="s">
        <v>2263</v>
      </c>
      <c r="C220" s="152" t="s">
        <v>2264</v>
      </c>
      <c r="D220" s="152" t="s">
        <v>2265</v>
      </c>
      <c r="E220" s="155" t="s">
        <v>2266</v>
      </c>
      <c r="G220" s="152">
        <v>7.355442E7</v>
      </c>
      <c r="H220" s="152" t="s">
        <v>2267</v>
      </c>
      <c r="I220" s="99"/>
      <c r="K220" s="112" t="s">
        <v>1995</v>
      </c>
      <c r="L220" s="120" t="s">
        <v>1990</v>
      </c>
      <c r="M220" s="129" t="s">
        <v>1698</v>
      </c>
      <c r="N220" s="130" t="s">
        <v>1699</v>
      </c>
      <c r="O220" s="137" t="s">
        <v>1700</v>
      </c>
      <c r="P220" s="138" t="s">
        <v>238</v>
      </c>
      <c r="Q220" s="133">
        <v>7.4082184E7</v>
      </c>
      <c r="R220" s="130" t="s">
        <v>1702</v>
      </c>
    </row>
    <row r="221">
      <c r="A221" s="113"/>
      <c r="B221" s="154"/>
      <c r="I221" s="99"/>
      <c r="K221" s="113"/>
      <c r="L221" s="120" t="s">
        <v>2064</v>
      </c>
      <c r="M221" s="152" t="s">
        <v>2268</v>
      </c>
      <c r="N221" s="152" t="s">
        <v>2269</v>
      </c>
      <c r="O221" s="152" t="s">
        <v>2270</v>
      </c>
      <c r="Q221" s="152">
        <v>7.6816825E7</v>
      </c>
      <c r="R221" s="152" t="s">
        <v>2271</v>
      </c>
    </row>
    <row r="222">
      <c r="A222" s="113"/>
      <c r="B222" s="154"/>
      <c r="I222" s="99"/>
      <c r="K222" s="113"/>
      <c r="L222" s="154"/>
    </row>
    <row r="223">
      <c r="A223" s="114">
        <v>41.0</v>
      </c>
      <c r="B223" s="200" t="s">
        <v>1710</v>
      </c>
      <c r="C223" s="119" t="s">
        <v>1711</v>
      </c>
      <c r="D223" s="117"/>
      <c r="E223" s="117"/>
      <c r="F223" s="117"/>
      <c r="G223" s="117"/>
      <c r="H223" s="117"/>
      <c r="I223" s="118"/>
      <c r="J223" s="117"/>
      <c r="K223" s="114">
        <v>42.0</v>
      </c>
      <c r="L223" s="201" t="s">
        <v>1743</v>
      </c>
      <c r="M223" s="116" t="s">
        <v>1744</v>
      </c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17"/>
      <c r="AH223" s="117"/>
      <c r="AI223" s="117"/>
      <c r="AJ223" s="117"/>
      <c r="AK223" s="117"/>
      <c r="AL223" s="117"/>
      <c r="AM223" s="117"/>
      <c r="AN223" s="117"/>
      <c r="AO223" s="117"/>
      <c r="AP223" s="117"/>
      <c r="AQ223" s="117"/>
      <c r="AR223" s="117"/>
      <c r="AS223" s="117"/>
      <c r="AT223" s="117"/>
      <c r="AU223" s="117"/>
      <c r="AV223" s="117"/>
      <c r="AW223" s="117"/>
      <c r="AX223" s="117"/>
      <c r="AY223" s="117"/>
      <c r="AZ223" s="117"/>
      <c r="BA223" s="117"/>
      <c r="BB223" s="117"/>
      <c r="BC223" s="113"/>
      <c r="BD223" s="113"/>
      <c r="BE223" s="113"/>
    </row>
    <row r="224">
      <c r="A224" s="113"/>
      <c r="B224" s="120" t="s">
        <v>1976</v>
      </c>
      <c r="C224" s="160" t="s">
        <v>1714</v>
      </c>
      <c r="D224" s="126">
        <v>7.5564461E7</v>
      </c>
      <c r="E224" s="161" t="s">
        <v>1716</v>
      </c>
      <c r="F224" s="126">
        <v>1.3509249E7</v>
      </c>
      <c r="I224" s="256" t="s">
        <v>1981</v>
      </c>
      <c r="K224" s="113"/>
      <c r="L224" s="120" t="s">
        <v>1976</v>
      </c>
      <c r="M224" s="121" t="s">
        <v>1747</v>
      </c>
      <c r="N224" s="122">
        <v>6.2368587E7</v>
      </c>
      <c r="O224" s="123" t="s">
        <v>1749</v>
      </c>
      <c r="P224" s="122">
        <v>1.3792255E7</v>
      </c>
      <c r="S224" s="175" t="s">
        <v>2026</v>
      </c>
    </row>
    <row r="225">
      <c r="A225" s="112">
        <v>1.0</v>
      </c>
      <c r="B225" s="120" t="s">
        <v>1982</v>
      </c>
      <c r="C225" s="145" t="s">
        <v>2272</v>
      </c>
      <c r="D225" s="202" t="s">
        <v>2273</v>
      </c>
      <c r="E225" s="203" t="s">
        <v>2274</v>
      </c>
      <c r="F225" s="132" t="s">
        <v>238</v>
      </c>
      <c r="G225" s="264">
        <v>7.4744965E7</v>
      </c>
      <c r="H225" s="202" t="s">
        <v>2141</v>
      </c>
      <c r="I225" s="99"/>
      <c r="K225" s="112">
        <v>1.0</v>
      </c>
      <c r="L225" s="120" t="s">
        <v>1982</v>
      </c>
      <c r="M225" s="129" t="s">
        <v>1750</v>
      </c>
      <c r="N225" s="130" t="s">
        <v>1751</v>
      </c>
      <c r="O225" s="163" t="s">
        <v>1752</v>
      </c>
      <c r="P225" s="132" t="s">
        <v>225</v>
      </c>
      <c r="Q225" s="133">
        <v>7.8986082E7</v>
      </c>
      <c r="R225" s="130" t="s">
        <v>1754</v>
      </c>
      <c r="S225" s="265"/>
    </row>
    <row r="226">
      <c r="A226" s="112">
        <v>2.0</v>
      </c>
      <c r="B226" s="120" t="s">
        <v>1984</v>
      </c>
      <c r="C226" s="135" t="s">
        <v>1721</v>
      </c>
      <c r="D226" s="136" t="s">
        <v>1722</v>
      </c>
      <c r="E226" s="144" t="s">
        <v>1723</v>
      </c>
      <c r="F226" s="132" t="s">
        <v>238</v>
      </c>
      <c r="G226" s="139">
        <v>6.1590962E7</v>
      </c>
      <c r="H226" s="136" t="s">
        <v>1725</v>
      </c>
      <c r="I226" s="99"/>
      <c r="K226" s="112">
        <v>2.0</v>
      </c>
      <c r="L226" s="120" t="s">
        <v>1984</v>
      </c>
      <c r="M226" s="129" t="s">
        <v>1755</v>
      </c>
      <c r="N226" s="130" t="s">
        <v>1756</v>
      </c>
      <c r="O226" s="144" t="s">
        <v>1757</v>
      </c>
      <c r="P226" s="146" t="s">
        <v>225</v>
      </c>
      <c r="Q226" s="133">
        <v>7.8823674E7</v>
      </c>
      <c r="R226" s="130" t="s">
        <v>1759</v>
      </c>
    </row>
    <row r="227">
      <c r="A227" s="112">
        <v>3.0</v>
      </c>
      <c r="B227" s="120" t="s">
        <v>1985</v>
      </c>
      <c r="C227" s="135" t="s">
        <v>1726</v>
      </c>
      <c r="D227" s="136" t="s">
        <v>1727</v>
      </c>
      <c r="E227" s="144" t="s">
        <v>1728</v>
      </c>
      <c r="F227" s="146" t="s">
        <v>238</v>
      </c>
      <c r="G227" s="139">
        <v>6.9117428E7</v>
      </c>
      <c r="H227" s="136" t="s">
        <v>1730</v>
      </c>
      <c r="I227" s="99"/>
      <c r="K227" s="112">
        <v>3.0</v>
      </c>
      <c r="L227" s="120" t="s">
        <v>1985</v>
      </c>
      <c r="M227" s="129" t="s">
        <v>1760</v>
      </c>
      <c r="N227" s="130" t="s">
        <v>1761</v>
      </c>
      <c r="O227" s="144" t="s">
        <v>1762</v>
      </c>
      <c r="P227" s="132" t="s">
        <v>225</v>
      </c>
      <c r="Q227" s="133">
        <v>7.8833843E7</v>
      </c>
      <c r="R227" s="130" t="s">
        <v>1764</v>
      </c>
    </row>
    <row r="228">
      <c r="A228" s="112">
        <v>4.0</v>
      </c>
      <c r="B228" s="120" t="s">
        <v>1986</v>
      </c>
      <c r="C228" s="135" t="s">
        <v>1731</v>
      </c>
      <c r="D228" s="136" t="s">
        <v>1732</v>
      </c>
      <c r="E228" s="137" t="s">
        <v>1733</v>
      </c>
      <c r="F228" s="138" t="s">
        <v>238</v>
      </c>
      <c r="G228" s="139">
        <v>7.1454527E7</v>
      </c>
      <c r="H228" s="136" t="s">
        <v>1735</v>
      </c>
      <c r="I228" s="99"/>
      <c r="K228" s="112">
        <v>4.0</v>
      </c>
      <c r="L228" s="120" t="s">
        <v>1986</v>
      </c>
      <c r="M228" s="129" t="s">
        <v>1747</v>
      </c>
      <c r="N228" s="130" t="s">
        <v>1765</v>
      </c>
      <c r="O228" s="137" t="s">
        <v>1766</v>
      </c>
      <c r="P228" s="138" t="s">
        <v>225</v>
      </c>
      <c r="Q228" s="133">
        <v>6.2368587E7</v>
      </c>
      <c r="R228" s="130" t="s">
        <v>1768</v>
      </c>
    </row>
    <row r="229">
      <c r="A229" s="112">
        <v>5.0</v>
      </c>
      <c r="B229" s="120" t="s">
        <v>1988</v>
      </c>
      <c r="C229" s="135" t="s">
        <v>1736</v>
      </c>
      <c r="D229" s="136" t="s">
        <v>1737</v>
      </c>
      <c r="E229" s="144" t="s">
        <v>1738</v>
      </c>
      <c r="F229" s="132" t="s">
        <v>238</v>
      </c>
      <c r="G229" s="139">
        <v>7.5569963E7</v>
      </c>
      <c r="H229" s="136" t="s">
        <v>1740</v>
      </c>
      <c r="I229" s="99"/>
      <c r="K229" s="112">
        <v>5.0</v>
      </c>
      <c r="L229" s="120" t="s">
        <v>1988</v>
      </c>
      <c r="M229" s="129" t="s">
        <v>1769</v>
      </c>
      <c r="N229" s="130" t="s">
        <v>1770</v>
      </c>
      <c r="O229" s="137" t="s">
        <v>1771</v>
      </c>
      <c r="P229" s="138" t="s">
        <v>238</v>
      </c>
      <c r="Q229" s="133">
        <v>6.7313077E7</v>
      </c>
      <c r="R229" s="130" t="s">
        <v>1773</v>
      </c>
    </row>
    <row r="230">
      <c r="A230" s="112" t="s">
        <v>1989</v>
      </c>
      <c r="B230" s="120" t="s">
        <v>2199</v>
      </c>
      <c r="C230" s="152" t="s">
        <v>2275</v>
      </c>
      <c r="D230" s="152" t="s">
        <v>2276</v>
      </c>
      <c r="E230" s="182" t="s">
        <v>2277</v>
      </c>
      <c r="G230" s="150"/>
      <c r="H230" s="150"/>
      <c r="I230" s="99"/>
      <c r="K230" s="112" t="s">
        <v>1989</v>
      </c>
      <c r="L230" s="186" t="s">
        <v>1990</v>
      </c>
      <c r="M230" s="266" t="s">
        <v>2278</v>
      </c>
      <c r="N230" s="152" t="s">
        <v>2279</v>
      </c>
      <c r="O230" s="199" t="s">
        <v>1775</v>
      </c>
      <c r="Q230" s="152">
        <v>7.8851242E7</v>
      </c>
      <c r="R230" s="150"/>
    </row>
    <row r="231">
      <c r="A231" s="112" t="s">
        <v>1995</v>
      </c>
      <c r="B231" s="120" t="s">
        <v>2199</v>
      </c>
      <c r="C231" s="152" t="s">
        <v>2280</v>
      </c>
      <c r="D231" s="152" t="s">
        <v>2281</v>
      </c>
      <c r="E231" s="182" t="s">
        <v>2282</v>
      </c>
      <c r="G231" s="152">
        <v>6.0618309E7</v>
      </c>
      <c r="H231" s="152" t="s">
        <v>2283</v>
      </c>
      <c r="I231" s="99"/>
      <c r="K231" s="112" t="s">
        <v>1995</v>
      </c>
      <c r="L231" s="120" t="s">
        <v>2284</v>
      </c>
      <c r="M231" s="152" t="s">
        <v>2285</v>
      </c>
      <c r="N231" s="182" t="s">
        <v>2286</v>
      </c>
      <c r="O231" s="155" t="s">
        <v>2287</v>
      </c>
      <c r="P231" s="152" t="s">
        <v>2288</v>
      </c>
      <c r="Q231" s="152">
        <v>7.4444862E7</v>
      </c>
      <c r="R231" s="152" t="s">
        <v>2289</v>
      </c>
    </row>
    <row r="232">
      <c r="A232" s="112" t="s">
        <v>2044</v>
      </c>
      <c r="B232" s="120" t="s">
        <v>1990</v>
      </c>
      <c r="C232" s="152" t="s">
        <v>1529</v>
      </c>
      <c r="D232" s="152" t="s">
        <v>2231</v>
      </c>
      <c r="G232" s="152">
        <v>7.2126723E7</v>
      </c>
      <c r="H232" s="152" t="s">
        <v>1534</v>
      </c>
      <c r="I232" s="99"/>
      <c r="K232" s="113"/>
      <c r="L232" s="120" t="s">
        <v>2055</v>
      </c>
      <c r="M232" s="152" t="s">
        <v>2290</v>
      </c>
      <c r="N232" s="182" t="s">
        <v>2291</v>
      </c>
      <c r="O232" s="155" t="s">
        <v>2292</v>
      </c>
      <c r="Q232" s="152">
        <v>6.0699227E7</v>
      </c>
      <c r="R232" s="152" t="s">
        <v>2293</v>
      </c>
    </row>
    <row r="233">
      <c r="A233" s="112"/>
      <c r="B233" s="154"/>
      <c r="I233" s="99"/>
      <c r="K233" s="113"/>
      <c r="L233" s="154"/>
    </row>
    <row r="234">
      <c r="A234" s="113"/>
      <c r="B234" s="154"/>
      <c r="I234" s="99"/>
      <c r="K234" s="113"/>
      <c r="L234" s="154"/>
    </row>
    <row r="235">
      <c r="A235" s="114">
        <v>43.0</v>
      </c>
      <c r="B235" s="200" t="s">
        <v>1777</v>
      </c>
      <c r="C235" s="119" t="s">
        <v>1778</v>
      </c>
      <c r="D235" s="117"/>
      <c r="E235" s="117"/>
      <c r="F235" s="117"/>
      <c r="G235" s="117"/>
      <c r="H235" s="117"/>
      <c r="I235" s="118"/>
      <c r="J235" s="117"/>
      <c r="K235" s="114">
        <v>44.0</v>
      </c>
      <c r="L235" s="201" t="s">
        <v>1809</v>
      </c>
      <c r="M235" s="116" t="s">
        <v>1810</v>
      </c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  <c r="AA235" s="117"/>
      <c r="AB235" s="117"/>
      <c r="AC235" s="117"/>
      <c r="AD235" s="117"/>
      <c r="AE235" s="117"/>
      <c r="AF235" s="117"/>
      <c r="AG235" s="117"/>
      <c r="AH235" s="117"/>
      <c r="AI235" s="117"/>
      <c r="AJ235" s="117"/>
      <c r="AK235" s="117"/>
      <c r="AL235" s="117"/>
      <c r="AM235" s="117"/>
      <c r="AN235" s="117"/>
      <c r="AO235" s="117"/>
      <c r="AP235" s="117"/>
      <c r="AQ235" s="117"/>
      <c r="AR235" s="117"/>
      <c r="AS235" s="117"/>
      <c r="AT235" s="117"/>
      <c r="AU235" s="117"/>
      <c r="AV235" s="117"/>
      <c r="AW235" s="117"/>
      <c r="AX235" s="117"/>
      <c r="AY235" s="117"/>
      <c r="AZ235" s="117"/>
      <c r="BA235" s="117"/>
      <c r="BB235" s="117"/>
      <c r="BC235" s="113"/>
      <c r="BD235" s="113"/>
      <c r="BE235" s="113"/>
    </row>
    <row r="236">
      <c r="A236" s="113"/>
      <c r="B236" s="120" t="s">
        <v>1976</v>
      </c>
      <c r="C236" s="160" t="s">
        <v>1781</v>
      </c>
      <c r="D236" s="126">
        <v>6.5676474E7</v>
      </c>
      <c r="E236" s="161" t="s">
        <v>1783</v>
      </c>
      <c r="F236" s="126">
        <v>1.2636502E7</v>
      </c>
      <c r="I236" s="124" t="s">
        <v>1977</v>
      </c>
      <c r="K236" s="113"/>
      <c r="L236" s="120" t="s">
        <v>1976</v>
      </c>
      <c r="M236" s="121" t="s">
        <v>1812</v>
      </c>
      <c r="N236" s="122">
        <v>7.7281334E7</v>
      </c>
      <c r="O236" s="123" t="s">
        <v>1814</v>
      </c>
      <c r="P236" s="122">
        <v>9236363.0</v>
      </c>
      <c r="S236" s="175" t="s">
        <v>2026</v>
      </c>
    </row>
    <row r="237">
      <c r="A237" s="112">
        <v>1.0</v>
      </c>
      <c r="B237" s="120" t="s">
        <v>1982</v>
      </c>
      <c r="C237" s="135" t="s">
        <v>1784</v>
      </c>
      <c r="D237" s="136" t="s">
        <v>1785</v>
      </c>
      <c r="E237" s="144" t="s">
        <v>1786</v>
      </c>
      <c r="F237" s="146" t="s">
        <v>238</v>
      </c>
      <c r="G237" s="139">
        <v>7.3226146E7</v>
      </c>
      <c r="H237" s="136" t="s">
        <v>1788</v>
      </c>
      <c r="I237" s="99"/>
      <c r="K237" s="112">
        <v>1.0</v>
      </c>
      <c r="L237" s="120" t="s">
        <v>1982</v>
      </c>
      <c r="M237" s="129" t="s">
        <v>1812</v>
      </c>
      <c r="N237" s="130" t="s">
        <v>1815</v>
      </c>
      <c r="O237" s="144" t="s">
        <v>1816</v>
      </c>
      <c r="P237" s="146" t="s">
        <v>238</v>
      </c>
      <c r="Q237" s="133">
        <v>7.7281334E7</v>
      </c>
      <c r="R237" s="130" t="s">
        <v>1814</v>
      </c>
    </row>
    <row r="238">
      <c r="A238" s="112">
        <v>2.0</v>
      </c>
      <c r="B238" s="120" t="s">
        <v>1984</v>
      </c>
      <c r="C238" s="135" t="s">
        <v>1789</v>
      </c>
      <c r="D238" s="136" t="s">
        <v>1790</v>
      </c>
      <c r="E238" s="144" t="s">
        <v>1791</v>
      </c>
      <c r="F238" s="132" t="s">
        <v>238</v>
      </c>
      <c r="G238" s="139">
        <v>6.5676474E7</v>
      </c>
      <c r="H238" s="136" t="s">
        <v>1793</v>
      </c>
      <c r="I238" s="99"/>
      <c r="K238" s="112">
        <v>2.0</v>
      </c>
      <c r="L238" s="120" t="s">
        <v>1984</v>
      </c>
      <c r="M238" s="129" t="s">
        <v>1817</v>
      </c>
      <c r="N238" s="130" t="s">
        <v>1818</v>
      </c>
      <c r="O238" s="144" t="s">
        <v>1819</v>
      </c>
      <c r="P238" s="132" t="s">
        <v>238</v>
      </c>
      <c r="Q238" s="133">
        <v>7.1515636E7</v>
      </c>
      <c r="R238" s="130" t="s">
        <v>1820</v>
      </c>
    </row>
    <row r="239">
      <c r="A239" s="112">
        <v>3.0</v>
      </c>
      <c r="B239" s="120" t="s">
        <v>1985</v>
      </c>
      <c r="C239" s="135" t="s">
        <v>1794</v>
      </c>
      <c r="D239" s="136" t="s">
        <v>1795</v>
      </c>
      <c r="E239" s="144" t="s">
        <v>1796</v>
      </c>
      <c r="F239" s="132" t="s">
        <v>225</v>
      </c>
      <c r="G239" s="139">
        <v>7.7766712E7</v>
      </c>
      <c r="H239" s="136" t="s">
        <v>1797</v>
      </c>
      <c r="I239" s="99"/>
      <c r="K239" s="112">
        <v>3.0</v>
      </c>
      <c r="L239" s="120" t="s">
        <v>1985</v>
      </c>
      <c r="M239" s="129" t="s">
        <v>1821</v>
      </c>
      <c r="N239" s="130" t="s">
        <v>1822</v>
      </c>
      <c r="O239" s="131" t="s">
        <v>1823</v>
      </c>
      <c r="P239" s="132" t="s">
        <v>238</v>
      </c>
      <c r="Q239" s="133">
        <v>6.9955037E7</v>
      </c>
      <c r="R239" s="130" t="s">
        <v>1824</v>
      </c>
    </row>
    <row r="240">
      <c r="A240" s="112">
        <v>4.0</v>
      </c>
      <c r="B240" s="120" t="s">
        <v>1986</v>
      </c>
      <c r="C240" s="135" t="s">
        <v>1798</v>
      </c>
      <c r="D240" s="136" t="s">
        <v>1799</v>
      </c>
      <c r="E240" s="144" t="s">
        <v>1800</v>
      </c>
      <c r="F240" s="132" t="s">
        <v>225</v>
      </c>
      <c r="G240" s="139">
        <v>7.7584669E7</v>
      </c>
      <c r="H240" s="136" t="s">
        <v>1802</v>
      </c>
      <c r="I240" s="99"/>
      <c r="K240" s="112">
        <v>4.0</v>
      </c>
      <c r="L240" s="120" t="s">
        <v>1986</v>
      </c>
      <c r="M240" s="129" t="s">
        <v>1825</v>
      </c>
      <c r="N240" s="130" t="s">
        <v>1826</v>
      </c>
      <c r="O240" s="144" t="s">
        <v>1827</v>
      </c>
      <c r="P240" s="132" t="s">
        <v>238</v>
      </c>
      <c r="Q240" s="133">
        <v>7.6549384E7</v>
      </c>
      <c r="R240" s="130" t="s">
        <v>1828</v>
      </c>
    </row>
    <row r="241">
      <c r="A241" s="112">
        <v>5.0</v>
      </c>
      <c r="B241" s="120" t="s">
        <v>1988</v>
      </c>
      <c r="C241" s="135" t="s">
        <v>1803</v>
      </c>
      <c r="D241" s="136" t="s">
        <v>1804</v>
      </c>
      <c r="E241" s="144" t="s">
        <v>1805</v>
      </c>
      <c r="F241" s="132" t="s">
        <v>225</v>
      </c>
      <c r="G241" s="139">
        <v>7.9650095E7</v>
      </c>
      <c r="H241" s="136" t="s">
        <v>1806</v>
      </c>
      <c r="I241" s="99"/>
      <c r="K241" s="112">
        <v>5.0</v>
      </c>
      <c r="L241" s="120" t="s">
        <v>1988</v>
      </c>
      <c r="M241" s="129" t="s">
        <v>1829</v>
      </c>
      <c r="N241" s="130" t="s">
        <v>1830</v>
      </c>
      <c r="O241" s="144" t="s">
        <v>1831</v>
      </c>
      <c r="P241" s="132" t="s">
        <v>238</v>
      </c>
      <c r="Q241" s="133">
        <v>7.724989E7</v>
      </c>
      <c r="R241" s="130" t="s">
        <v>1833</v>
      </c>
    </row>
    <row r="242">
      <c r="A242" s="112" t="s">
        <v>1989</v>
      </c>
      <c r="B242" s="186" t="s">
        <v>2064</v>
      </c>
      <c r="C242" s="145" t="s">
        <v>2294</v>
      </c>
      <c r="D242" s="152" t="s">
        <v>2295</v>
      </c>
      <c r="E242" s="187" t="s">
        <v>2296</v>
      </c>
      <c r="G242" s="150"/>
      <c r="H242" s="152" t="s">
        <v>2297</v>
      </c>
      <c r="I242" s="99"/>
      <c r="K242" s="112" t="s">
        <v>1989</v>
      </c>
      <c r="L242" s="120" t="s">
        <v>1990</v>
      </c>
    </row>
    <row r="243">
      <c r="A243" s="112" t="s">
        <v>1995</v>
      </c>
      <c r="B243" s="186" t="s">
        <v>2064</v>
      </c>
      <c r="C243" s="152" t="s">
        <v>2298</v>
      </c>
      <c r="E243" s="182" t="s">
        <v>2299</v>
      </c>
      <c r="G243" s="150"/>
      <c r="H243" s="152" t="s">
        <v>2300</v>
      </c>
      <c r="I243" s="99"/>
      <c r="K243" s="112" t="s">
        <v>1995</v>
      </c>
      <c r="L243" s="154"/>
      <c r="BB243" s="97"/>
      <c r="BC243" s="97"/>
      <c r="BD243" s="97"/>
      <c r="BE243" s="97"/>
    </row>
    <row r="244">
      <c r="A244" s="113"/>
      <c r="B244" s="154"/>
      <c r="I244" s="99"/>
      <c r="K244" s="113"/>
      <c r="L244" s="154"/>
      <c r="BB244" s="267" t="s">
        <v>19</v>
      </c>
      <c r="BC244" s="268"/>
      <c r="BD244" s="268"/>
      <c r="BE244" s="268"/>
    </row>
    <row r="245">
      <c r="A245" s="113"/>
      <c r="B245" s="154"/>
      <c r="I245" s="99"/>
      <c r="K245" s="113"/>
      <c r="L245" s="154"/>
      <c r="BB245" s="131" t="s">
        <v>327</v>
      </c>
      <c r="BC245" s="269"/>
      <c r="BD245" s="269"/>
      <c r="BE245" s="269"/>
    </row>
    <row r="246">
      <c r="A246" s="114">
        <v>45.0</v>
      </c>
      <c r="B246" s="270" t="s">
        <v>1835</v>
      </c>
      <c r="C246" s="271" t="s">
        <v>1836</v>
      </c>
      <c r="D246" s="117"/>
      <c r="E246" s="117"/>
      <c r="F246" s="117"/>
      <c r="G246" s="117"/>
      <c r="H246" s="117"/>
      <c r="I246" s="118"/>
      <c r="J246" s="117"/>
      <c r="K246" s="114">
        <v>46.0</v>
      </c>
      <c r="L246" s="200" t="s">
        <v>1031</v>
      </c>
      <c r="M246" s="119" t="s">
        <v>1032</v>
      </c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  <c r="AA246" s="117"/>
      <c r="AB246" s="117"/>
      <c r="AC246" s="117"/>
      <c r="AD246" s="117"/>
      <c r="AE246" s="117"/>
      <c r="AF246" s="117"/>
      <c r="AG246" s="117"/>
      <c r="AH246" s="117"/>
      <c r="AI246" s="117"/>
      <c r="AJ246" s="117"/>
      <c r="AK246" s="117"/>
      <c r="AL246" s="117"/>
      <c r="AM246" s="117"/>
      <c r="AN246" s="117"/>
      <c r="AO246" s="117"/>
      <c r="AP246" s="117"/>
      <c r="AQ246" s="117"/>
      <c r="AR246" s="117"/>
      <c r="AS246" s="117"/>
      <c r="AT246" s="117"/>
      <c r="AU246" s="117"/>
      <c r="AV246" s="117"/>
      <c r="AW246" s="117"/>
      <c r="AX246" s="117"/>
      <c r="AY246" s="117"/>
      <c r="AZ246" s="117"/>
      <c r="BA246" s="117"/>
      <c r="BB246" s="272" t="s">
        <v>510</v>
      </c>
      <c r="BC246" s="273"/>
      <c r="BD246" s="273"/>
      <c r="BE246" s="273"/>
    </row>
    <row r="247">
      <c r="A247" s="113"/>
      <c r="B247" s="120" t="s">
        <v>1976</v>
      </c>
      <c r="C247" s="274" t="s">
        <v>1679</v>
      </c>
      <c r="D247" s="274" t="s">
        <v>1839</v>
      </c>
      <c r="E247" s="274" t="s">
        <v>1682</v>
      </c>
      <c r="F247" s="275">
        <v>8362523.0</v>
      </c>
      <c r="I247" s="124" t="s">
        <v>2026</v>
      </c>
      <c r="K247" s="113"/>
      <c r="L247" s="120" t="s">
        <v>1976</v>
      </c>
      <c r="M247" s="160" t="s">
        <v>1034</v>
      </c>
      <c r="N247" s="126">
        <v>7.8671672E7</v>
      </c>
      <c r="O247" s="161" t="s">
        <v>1036</v>
      </c>
      <c r="P247" s="126">
        <v>9670678.0</v>
      </c>
      <c r="S247" s="175" t="s">
        <v>2026</v>
      </c>
      <c r="BB247" s="276"/>
      <c r="BC247" s="277"/>
      <c r="BD247" s="277"/>
      <c r="BE247" s="277"/>
    </row>
    <row r="248">
      <c r="A248" s="112">
        <v>1.0</v>
      </c>
      <c r="B248" s="120" t="s">
        <v>1982</v>
      </c>
      <c r="C248" s="274" t="s">
        <v>1841</v>
      </c>
      <c r="D248" s="274" t="s">
        <v>1842</v>
      </c>
      <c r="E248" s="278" t="s">
        <v>1843</v>
      </c>
      <c r="F248" s="279" t="s">
        <v>238</v>
      </c>
      <c r="G248" s="274" t="s">
        <v>1845</v>
      </c>
      <c r="H248" s="274" t="s">
        <v>1846</v>
      </c>
      <c r="I248" s="99"/>
      <c r="K248" s="112">
        <v>1.0</v>
      </c>
      <c r="L248" s="120" t="s">
        <v>1982</v>
      </c>
      <c r="M248" s="280" t="s">
        <v>1037</v>
      </c>
      <c r="N248" s="281" t="s">
        <v>2301</v>
      </c>
      <c r="O248" s="282" t="s">
        <v>2302</v>
      </c>
      <c r="P248" s="283" t="s">
        <v>238</v>
      </c>
      <c r="Q248" s="284">
        <v>7.8671672E7</v>
      </c>
      <c r="R248" s="283" t="s">
        <v>1036</v>
      </c>
      <c r="BB248" s="285"/>
      <c r="BC248" s="277"/>
      <c r="BD248" s="277"/>
      <c r="BE248" s="277"/>
    </row>
    <row r="249">
      <c r="A249" s="112">
        <v>2.0</v>
      </c>
      <c r="B249" s="120" t="s">
        <v>2303</v>
      </c>
      <c r="C249" s="274" t="s">
        <v>1847</v>
      </c>
      <c r="D249" s="274" t="s">
        <v>1848</v>
      </c>
      <c r="E249" s="269" t="s">
        <v>1849</v>
      </c>
      <c r="F249" s="286" t="s">
        <v>238</v>
      </c>
      <c r="G249" s="275">
        <v>7.6527196E7</v>
      </c>
      <c r="H249" s="274" t="s">
        <v>1851</v>
      </c>
      <c r="I249" s="99"/>
      <c r="K249" s="112">
        <v>2.0</v>
      </c>
      <c r="L249" s="120" t="s">
        <v>1984</v>
      </c>
      <c r="M249" s="280" t="s">
        <v>1041</v>
      </c>
      <c r="N249" s="281" t="s">
        <v>1042</v>
      </c>
      <c r="O249" s="282" t="s">
        <v>2304</v>
      </c>
      <c r="P249" s="283" t="s">
        <v>238</v>
      </c>
      <c r="Q249" s="284">
        <v>7.8698042E7</v>
      </c>
      <c r="R249" s="283" t="s">
        <v>1045</v>
      </c>
    </row>
    <row r="250">
      <c r="A250" s="112">
        <v>3.0</v>
      </c>
      <c r="B250" s="120" t="s">
        <v>2305</v>
      </c>
      <c r="C250" s="129" t="s">
        <v>1693</v>
      </c>
      <c r="D250" s="130" t="s">
        <v>1694</v>
      </c>
      <c r="E250" s="131" t="s">
        <v>1695</v>
      </c>
      <c r="F250" s="132" t="s">
        <v>225</v>
      </c>
      <c r="G250" s="130" t="s">
        <v>1696</v>
      </c>
      <c r="H250" s="130" t="s">
        <v>1697</v>
      </c>
      <c r="I250" s="99"/>
      <c r="K250" s="112">
        <v>3.0</v>
      </c>
      <c r="L250" s="120" t="s">
        <v>1985</v>
      </c>
      <c r="M250" s="280" t="s">
        <v>1046</v>
      </c>
      <c r="N250" s="281" t="s">
        <v>1051</v>
      </c>
      <c r="O250" s="282" t="s">
        <v>2306</v>
      </c>
      <c r="P250" s="283" t="s">
        <v>238</v>
      </c>
      <c r="Q250" s="284">
        <v>7.6110602E7</v>
      </c>
      <c r="R250" s="287"/>
    </row>
    <row r="251">
      <c r="A251" s="112">
        <v>4.0</v>
      </c>
      <c r="B251" s="120" t="s">
        <v>1986</v>
      </c>
      <c r="C251" s="274" t="s">
        <v>1679</v>
      </c>
      <c r="D251" s="274" t="s">
        <v>1852</v>
      </c>
      <c r="E251" s="269" t="s">
        <v>1853</v>
      </c>
      <c r="F251" s="286" t="s">
        <v>225</v>
      </c>
      <c r="G251" s="274" t="s">
        <v>1839</v>
      </c>
      <c r="H251" s="274" t="s">
        <v>1682</v>
      </c>
      <c r="I251" s="99"/>
      <c r="K251" s="112">
        <v>4.0</v>
      </c>
      <c r="L251" s="120" t="s">
        <v>1986</v>
      </c>
      <c r="M251" s="280" t="s">
        <v>1050</v>
      </c>
      <c r="N251" s="281" t="s">
        <v>1047</v>
      </c>
      <c r="O251" s="282" t="s">
        <v>2307</v>
      </c>
      <c r="P251" s="283" t="s">
        <v>225</v>
      </c>
      <c r="Q251" s="284">
        <v>7.5437591E7</v>
      </c>
      <c r="R251" s="287"/>
    </row>
    <row r="252">
      <c r="A252" s="112">
        <v>5.0</v>
      </c>
      <c r="B252" s="120" t="s">
        <v>1988</v>
      </c>
      <c r="C252" s="274" t="s">
        <v>1860</v>
      </c>
      <c r="D252" s="274" t="s">
        <v>1861</v>
      </c>
      <c r="E252" s="288" t="s">
        <v>1862</v>
      </c>
      <c r="F252" s="289" t="s">
        <v>238</v>
      </c>
      <c r="G252" s="274" t="s">
        <v>1864</v>
      </c>
      <c r="H252" s="274" t="s">
        <v>1865</v>
      </c>
      <c r="I252" s="99"/>
      <c r="K252" s="112">
        <v>5.0</v>
      </c>
      <c r="L252" s="120" t="s">
        <v>1988</v>
      </c>
      <c r="M252" s="280" t="s">
        <v>1053</v>
      </c>
      <c r="N252" s="281" t="s">
        <v>2308</v>
      </c>
      <c r="O252" s="282" t="s">
        <v>2309</v>
      </c>
      <c r="P252" s="283" t="s">
        <v>238</v>
      </c>
      <c r="Q252" s="284">
        <v>7.5787924E7</v>
      </c>
      <c r="R252" s="150"/>
    </row>
    <row r="253">
      <c r="A253" s="112" t="s">
        <v>1989</v>
      </c>
      <c r="B253" s="120" t="s">
        <v>2064</v>
      </c>
      <c r="C253" s="290" t="s">
        <v>1668</v>
      </c>
      <c r="D253" s="152" t="s">
        <v>2310</v>
      </c>
      <c r="E253" s="291" t="s">
        <v>1670</v>
      </c>
      <c r="F253" s="152" t="s">
        <v>2185</v>
      </c>
      <c r="G253" s="150"/>
      <c r="H253" s="150"/>
      <c r="I253" s="99"/>
      <c r="K253" s="112" t="s">
        <v>1989</v>
      </c>
      <c r="L253" s="120" t="s">
        <v>2311</v>
      </c>
      <c r="M253" s="152" t="s">
        <v>2312</v>
      </c>
      <c r="N253" s="152" t="s">
        <v>2313</v>
      </c>
      <c r="Q253" s="152">
        <v>7.5063606E7</v>
      </c>
      <c r="R253" s="152" t="s">
        <v>2314</v>
      </c>
    </row>
    <row r="254">
      <c r="A254" s="112" t="s">
        <v>1995</v>
      </c>
      <c r="B254" s="120" t="s">
        <v>2315</v>
      </c>
      <c r="C254" s="152" t="s">
        <v>2316</v>
      </c>
      <c r="D254" s="152" t="s">
        <v>2317</v>
      </c>
      <c r="G254" s="152">
        <v>7.1923161E7</v>
      </c>
      <c r="H254" s="152" t="s">
        <v>2318</v>
      </c>
      <c r="I254" s="99"/>
      <c r="K254" s="112" t="s">
        <v>1995</v>
      </c>
      <c r="L254" s="120" t="s">
        <v>2263</v>
      </c>
      <c r="M254" s="152" t="s">
        <v>2319</v>
      </c>
      <c r="N254" s="152" t="s">
        <v>2320</v>
      </c>
      <c r="O254" s="155" t="s">
        <v>2321</v>
      </c>
      <c r="Q254" s="152">
        <v>7.0319427E7</v>
      </c>
      <c r="R254" s="152" t="s">
        <v>2322</v>
      </c>
    </row>
    <row r="255">
      <c r="A255" s="113"/>
      <c r="B255" s="154"/>
      <c r="I255" s="99"/>
      <c r="K255" s="113"/>
      <c r="L255" s="154"/>
    </row>
    <row r="256">
      <c r="A256" s="113"/>
      <c r="B256" s="154"/>
      <c r="I256" s="99"/>
      <c r="K256" s="113"/>
      <c r="L256" s="154"/>
    </row>
    <row r="257">
      <c r="A257" s="114">
        <v>47.0</v>
      </c>
      <c r="B257" s="292" t="s">
        <v>902</v>
      </c>
      <c r="C257" s="292" t="s">
        <v>903</v>
      </c>
      <c r="H257" s="117"/>
      <c r="I257" s="118"/>
      <c r="J257" s="117"/>
      <c r="K257" s="114">
        <v>48.0</v>
      </c>
      <c r="L257" s="112" t="s">
        <v>840</v>
      </c>
      <c r="M257" s="292" t="s">
        <v>841</v>
      </c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  <c r="AB257" s="117"/>
      <c r="AC257" s="117"/>
      <c r="AD257" s="117"/>
      <c r="AE257" s="117"/>
      <c r="AF257" s="117"/>
      <c r="AG257" s="117"/>
      <c r="AH257" s="117"/>
      <c r="AI257" s="117"/>
      <c r="AJ257" s="117"/>
      <c r="AK257" s="117"/>
      <c r="AL257" s="117"/>
      <c r="AM257" s="117"/>
      <c r="AN257" s="117"/>
      <c r="AO257" s="117"/>
      <c r="AP257" s="117"/>
      <c r="AQ257" s="117"/>
      <c r="AR257" s="117"/>
      <c r="AS257" s="117"/>
      <c r="AT257" s="117"/>
      <c r="AU257" s="117"/>
      <c r="AV257" s="117"/>
      <c r="AW257" s="117"/>
      <c r="AX257" s="117"/>
      <c r="AY257" s="117"/>
      <c r="AZ257" s="117"/>
      <c r="BA257" s="117"/>
      <c r="BB257" s="117"/>
      <c r="BC257" s="113"/>
      <c r="BD257" s="113"/>
      <c r="BE257" s="113"/>
    </row>
    <row r="258">
      <c r="A258" s="113"/>
      <c r="B258" s="120" t="s">
        <v>1976</v>
      </c>
      <c r="C258" s="175" t="s">
        <v>909</v>
      </c>
      <c r="D258" s="152">
        <v>7.5222262E7</v>
      </c>
      <c r="E258" s="152" t="s">
        <v>908</v>
      </c>
      <c r="F258" s="152">
        <v>9881044.0</v>
      </c>
      <c r="G258" s="293"/>
      <c r="I258" s="124" t="s">
        <v>2026</v>
      </c>
      <c r="K258" s="113"/>
      <c r="L258" s="120" t="s">
        <v>1976</v>
      </c>
      <c r="M258" s="136" t="s">
        <v>844</v>
      </c>
      <c r="N258" s="139">
        <v>7.352206E7</v>
      </c>
      <c r="O258" s="136" t="s">
        <v>846</v>
      </c>
      <c r="P258" s="136" t="s">
        <v>847</v>
      </c>
      <c r="R258" s="175" t="s">
        <v>2026</v>
      </c>
    </row>
    <row r="259">
      <c r="A259" s="112">
        <v>1.0</v>
      </c>
      <c r="B259" s="120" t="s">
        <v>1982</v>
      </c>
      <c r="C259" s="175" t="s">
        <v>909</v>
      </c>
      <c r="D259" s="182" t="s">
        <v>910</v>
      </c>
      <c r="E259" s="155" t="s">
        <v>911</v>
      </c>
      <c r="F259" s="152">
        <v>7.5222262E7</v>
      </c>
      <c r="G259" s="152" t="s">
        <v>908</v>
      </c>
      <c r="I259" s="99"/>
      <c r="K259" s="112">
        <v>1.0</v>
      </c>
      <c r="L259" s="120" t="s">
        <v>1982</v>
      </c>
      <c r="M259" s="136" t="s">
        <v>848</v>
      </c>
      <c r="N259" s="184" t="s">
        <v>849</v>
      </c>
      <c r="O259" s="184" t="s">
        <v>850</v>
      </c>
      <c r="P259" s="139">
        <v>7.1267223E7</v>
      </c>
      <c r="Q259" s="136" t="s">
        <v>852</v>
      </c>
    </row>
    <row r="260">
      <c r="A260" s="112">
        <v>2.0</v>
      </c>
      <c r="B260" s="120" t="s">
        <v>1984</v>
      </c>
      <c r="C260" s="152" t="s">
        <v>913</v>
      </c>
      <c r="D260" s="182" t="s">
        <v>914</v>
      </c>
      <c r="E260" s="155" t="s">
        <v>915</v>
      </c>
      <c r="F260" s="152">
        <v>6.9950414E7</v>
      </c>
      <c r="G260" s="152" t="s">
        <v>917</v>
      </c>
      <c r="I260" s="99"/>
      <c r="K260" s="112">
        <v>2.0</v>
      </c>
      <c r="L260" s="120" t="s">
        <v>1984</v>
      </c>
      <c r="M260" s="136" t="s">
        <v>853</v>
      </c>
      <c r="N260" s="215" t="s">
        <v>854</v>
      </c>
      <c r="O260" s="184" t="s">
        <v>855</v>
      </c>
      <c r="P260" s="139">
        <v>7.893901E7</v>
      </c>
      <c r="Q260" s="136" t="s">
        <v>857</v>
      </c>
    </row>
    <row r="261">
      <c r="A261" s="112">
        <v>3.0</v>
      </c>
      <c r="B261" s="120" t="s">
        <v>1985</v>
      </c>
      <c r="C261" s="175" t="s">
        <v>918</v>
      </c>
      <c r="D261" s="182" t="s">
        <v>919</v>
      </c>
      <c r="E261" s="155" t="s">
        <v>920</v>
      </c>
      <c r="F261" s="152">
        <v>7.9320182E7</v>
      </c>
      <c r="G261" s="152" t="s">
        <v>922</v>
      </c>
      <c r="I261" s="99"/>
      <c r="K261" s="112">
        <v>3.0</v>
      </c>
      <c r="L261" s="120" t="s">
        <v>1985</v>
      </c>
      <c r="M261" s="294" t="s">
        <v>2323</v>
      </c>
      <c r="N261" s="215" t="s">
        <v>859</v>
      </c>
      <c r="O261" s="187" t="s">
        <v>2324</v>
      </c>
      <c r="P261" s="295"/>
      <c r="Q261" s="295"/>
    </row>
    <row r="262">
      <c r="A262" s="112">
        <v>4.0</v>
      </c>
      <c r="B262" s="120" t="s">
        <v>1986</v>
      </c>
      <c r="C262" s="175" t="s">
        <v>923</v>
      </c>
      <c r="D262" s="182" t="s">
        <v>924</v>
      </c>
      <c r="E262" s="155" t="s">
        <v>925</v>
      </c>
      <c r="F262" s="152">
        <v>7.5799999E7</v>
      </c>
      <c r="G262" s="152" t="s">
        <v>927</v>
      </c>
      <c r="I262" s="99"/>
      <c r="K262" s="112">
        <v>4.0</v>
      </c>
      <c r="L262" s="120" t="s">
        <v>1986</v>
      </c>
      <c r="M262" s="136" t="s">
        <v>862</v>
      </c>
      <c r="N262" s="184" t="s">
        <v>863</v>
      </c>
      <c r="O262" s="184" t="s">
        <v>864</v>
      </c>
      <c r="P262" s="139">
        <v>7.352206E7</v>
      </c>
      <c r="Q262" s="136" t="s">
        <v>846</v>
      </c>
    </row>
    <row r="263">
      <c r="A263" s="112">
        <v>5.0</v>
      </c>
      <c r="B263" s="120" t="s">
        <v>1988</v>
      </c>
      <c r="C263" s="152" t="s">
        <v>928</v>
      </c>
      <c r="D263" s="182" t="s">
        <v>929</v>
      </c>
      <c r="E263" s="155" t="s">
        <v>930</v>
      </c>
      <c r="F263" s="152">
        <v>6.2549377E7</v>
      </c>
      <c r="G263" s="152" t="s">
        <v>932</v>
      </c>
      <c r="I263" s="99"/>
      <c r="K263" s="112">
        <v>5.0</v>
      </c>
      <c r="L263" s="120" t="s">
        <v>1988</v>
      </c>
      <c r="M263" s="136" t="s">
        <v>866</v>
      </c>
      <c r="N263" s="215" t="s">
        <v>867</v>
      </c>
      <c r="O263" s="184" t="s">
        <v>868</v>
      </c>
      <c r="P263" s="139">
        <v>7.1932296E7</v>
      </c>
      <c r="Q263" s="136" t="s">
        <v>870</v>
      </c>
    </row>
    <row r="264">
      <c r="A264" s="112" t="s">
        <v>1989</v>
      </c>
      <c r="B264" s="296" t="s">
        <v>2019</v>
      </c>
      <c r="C264" s="152" t="s">
        <v>2325</v>
      </c>
      <c r="D264" s="182" t="s">
        <v>2326</v>
      </c>
      <c r="E264" s="155" t="s">
        <v>2327</v>
      </c>
      <c r="F264" s="8" t="s">
        <v>2223</v>
      </c>
      <c r="I264" s="99"/>
      <c r="K264" s="112" t="s">
        <v>1989</v>
      </c>
      <c r="L264" s="120" t="s">
        <v>1990</v>
      </c>
      <c r="M264" s="152" t="s">
        <v>871</v>
      </c>
      <c r="N264" s="182" t="s">
        <v>2328</v>
      </c>
      <c r="O264" s="155" t="s">
        <v>872</v>
      </c>
    </row>
    <row r="265">
      <c r="A265" s="112" t="s">
        <v>1995</v>
      </c>
      <c r="B265" s="296" t="s">
        <v>2064</v>
      </c>
      <c r="C265" s="8" t="s">
        <v>2329</v>
      </c>
      <c r="D265" s="8" t="s">
        <v>2330</v>
      </c>
      <c r="E265" s="297" t="s">
        <v>2331</v>
      </c>
      <c r="F265" s="8" t="s">
        <v>2332</v>
      </c>
      <c r="G265" s="3"/>
      <c r="I265" s="99"/>
      <c r="K265" s="112" t="s">
        <v>1995</v>
      </c>
      <c r="L265" s="154"/>
    </row>
    <row r="266">
      <c r="A266" s="113"/>
      <c r="B266" s="296" t="s">
        <v>2207</v>
      </c>
      <c r="C266" s="175" t="s">
        <v>2333</v>
      </c>
      <c r="D266" s="8" t="s">
        <v>2334</v>
      </c>
      <c r="E266" s="297" t="s">
        <v>2335</v>
      </c>
      <c r="F266" s="8">
        <v>7.4531325E7</v>
      </c>
      <c r="G266" s="8" t="s">
        <v>2336</v>
      </c>
      <c r="I266" s="102" t="s">
        <v>2337</v>
      </c>
      <c r="K266" s="113"/>
      <c r="L266" s="154"/>
    </row>
    <row r="267">
      <c r="A267" s="113"/>
      <c r="B267" s="296" t="s">
        <v>2207</v>
      </c>
      <c r="C267" s="175" t="s">
        <v>2338</v>
      </c>
      <c r="D267" s="8" t="s">
        <v>2339</v>
      </c>
      <c r="E267" s="297" t="s">
        <v>2340</v>
      </c>
      <c r="F267" s="8">
        <v>7.2869688E7</v>
      </c>
      <c r="G267" s="8" t="s">
        <v>2341</v>
      </c>
      <c r="I267" s="99"/>
      <c r="K267" s="113"/>
      <c r="L267" s="154"/>
    </row>
    <row r="268">
      <c r="A268" s="298"/>
      <c r="B268" s="299" t="s">
        <v>2342</v>
      </c>
      <c r="C268" s="300"/>
      <c r="D268" s="300"/>
      <c r="E268" s="300"/>
      <c r="F268" s="300"/>
      <c r="G268" s="300"/>
      <c r="H268" s="300"/>
      <c r="I268" s="301"/>
      <c r="J268" s="117"/>
      <c r="K268" s="302">
        <v>49.0</v>
      </c>
      <c r="L268" s="303" t="s">
        <v>2343</v>
      </c>
      <c r="M268" s="304" t="s">
        <v>2344</v>
      </c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  <c r="AB268" s="117"/>
      <c r="AC268" s="117"/>
      <c r="AD268" s="117"/>
      <c r="AE268" s="117"/>
      <c r="AF268" s="117"/>
      <c r="AG268" s="117"/>
      <c r="AH268" s="117"/>
      <c r="AI268" s="117"/>
      <c r="AJ268" s="117"/>
      <c r="AK268" s="117"/>
      <c r="AL268" s="117"/>
      <c r="AM268" s="117"/>
      <c r="AN268" s="117"/>
      <c r="AO268" s="117"/>
      <c r="AP268" s="117"/>
      <c r="AQ268" s="117"/>
      <c r="AR268" s="117"/>
      <c r="AS268" s="117"/>
      <c r="AT268" s="117"/>
      <c r="AU268" s="117"/>
      <c r="AV268" s="117"/>
      <c r="AW268" s="117"/>
      <c r="AX268" s="117"/>
      <c r="AY268" s="117"/>
      <c r="AZ268" s="117"/>
      <c r="BA268" s="117"/>
      <c r="BB268" s="117"/>
      <c r="BC268" s="113"/>
      <c r="BD268" s="113"/>
      <c r="BE268" s="113"/>
    </row>
    <row r="269">
      <c r="A269" s="305"/>
      <c r="B269" s="207" t="s">
        <v>1976</v>
      </c>
      <c r="C269" s="306" t="s">
        <v>2001</v>
      </c>
      <c r="D269" s="307">
        <v>6.720021E7</v>
      </c>
      <c r="E269" s="306" t="s">
        <v>2336</v>
      </c>
      <c r="F269" s="307">
        <v>7376564.0</v>
      </c>
      <c r="G269" s="265"/>
      <c r="H269" s="265"/>
      <c r="I269" s="263" t="s">
        <v>2345</v>
      </c>
      <c r="K269" s="113"/>
      <c r="L269" s="120" t="s">
        <v>1976</v>
      </c>
      <c r="M269" s="97"/>
      <c r="N269" s="98"/>
      <c r="O269" s="97"/>
      <c r="P269" s="98"/>
    </row>
    <row r="270">
      <c r="A270" s="308">
        <v>1.0</v>
      </c>
      <c r="B270" s="207" t="s">
        <v>1982</v>
      </c>
      <c r="C270" s="306" t="s">
        <v>2346</v>
      </c>
      <c r="D270" s="309" t="s">
        <v>2347</v>
      </c>
      <c r="E270" s="265"/>
      <c r="F270" s="307">
        <v>6.919113E7</v>
      </c>
      <c r="G270" s="306" t="s">
        <v>2348</v>
      </c>
      <c r="H270" s="265"/>
      <c r="I270" s="310"/>
      <c r="K270" s="112">
        <v>1.0</v>
      </c>
      <c r="L270" s="120" t="s">
        <v>1982</v>
      </c>
      <c r="M270" s="107" t="s">
        <v>2349</v>
      </c>
      <c r="N270" s="311" t="s">
        <v>2350</v>
      </c>
      <c r="P270" s="108">
        <v>7.1454527E7</v>
      </c>
      <c r="Q270" s="107" t="s">
        <v>2351</v>
      </c>
      <c r="R270" s="107"/>
    </row>
    <row r="271">
      <c r="A271" s="308">
        <v>2.0</v>
      </c>
      <c r="B271" s="207" t="s">
        <v>1984</v>
      </c>
      <c r="C271" s="265"/>
      <c r="D271" s="265"/>
      <c r="E271" s="265"/>
      <c r="F271" s="265"/>
      <c r="G271" s="265"/>
      <c r="H271" s="265"/>
      <c r="I271" s="310"/>
      <c r="K271" s="112">
        <v>2.0</v>
      </c>
      <c r="L271" s="120" t="s">
        <v>1984</v>
      </c>
      <c r="M271" s="97" t="s">
        <v>2352</v>
      </c>
      <c r="N271" s="168" t="s">
        <v>2353</v>
      </c>
      <c r="O271" s="104" t="s">
        <v>2354</v>
      </c>
      <c r="P271" s="98">
        <v>6.3242025E7</v>
      </c>
      <c r="Q271" s="168" t="s">
        <v>2355</v>
      </c>
    </row>
    <row r="272">
      <c r="A272" s="308">
        <v>3.0</v>
      </c>
      <c r="B272" s="207" t="s">
        <v>1985</v>
      </c>
      <c r="C272" s="306" t="s">
        <v>2356</v>
      </c>
      <c r="D272" s="309" t="s">
        <v>2357</v>
      </c>
      <c r="E272" s="265"/>
      <c r="F272" s="307">
        <v>6.1359711E7</v>
      </c>
      <c r="G272" s="306" t="s">
        <v>2358</v>
      </c>
      <c r="H272" s="265"/>
      <c r="I272" s="310"/>
      <c r="K272" s="112">
        <v>3.0</v>
      </c>
      <c r="L272" s="120" t="s">
        <v>1985</v>
      </c>
      <c r="M272" s="97" t="s">
        <v>2359</v>
      </c>
      <c r="N272" s="168" t="s">
        <v>2360</v>
      </c>
      <c r="O272" s="155" t="s">
        <v>2361</v>
      </c>
      <c r="P272" s="98">
        <v>7.4815948E7</v>
      </c>
      <c r="Q272" s="97" t="s">
        <v>2362</v>
      </c>
      <c r="R272" s="97"/>
    </row>
    <row r="273">
      <c r="A273" s="308">
        <v>4.0</v>
      </c>
      <c r="B273" s="207" t="s">
        <v>1986</v>
      </c>
      <c r="C273" s="306" t="s">
        <v>2001</v>
      </c>
      <c r="D273" s="309" t="s">
        <v>2002</v>
      </c>
      <c r="E273" s="265"/>
      <c r="F273" s="307">
        <v>6.720021E7</v>
      </c>
      <c r="G273" s="306" t="s">
        <v>2003</v>
      </c>
      <c r="H273" s="265"/>
      <c r="I273" s="310"/>
      <c r="K273" s="112">
        <v>4.0</v>
      </c>
      <c r="L273" s="120" t="s">
        <v>1986</v>
      </c>
      <c r="M273" s="229" t="s">
        <v>2363</v>
      </c>
      <c r="N273" s="182" t="s">
        <v>2364</v>
      </c>
      <c r="O273" s="215" t="s">
        <v>2365</v>
      </c>
      <c r="P273" s="152">
        <v>6.3983208E7</v>
      </c>
      <c r="Q273" s="152" t="s">
        <v>2366</v>
      </c>
      <c r="R273" s="97"/>
    </row>
    <row r="274">
      <c r="A274" s="308">
        <v>5.0</v>
      </c>
      <c r="B274" s="207" t="s">
        <v>1988</v>
      </c>
      <c r="C274" s="306" t="s">
        <v>2367</v>
      </c>
      <c r="D274" s="309" t="s">
        <v>2368</v>
      </c>
      <c r="E274" s="109" t="s">
        <v>2369</v>
      </c>
      <c r="F274" s="307">
        <v>7.4531325E7</v>
      </c>
      <c r="G274" s="306" t="s">
        <v>2336</v>
      </c>
      <c r="H274" s="265"/>
      <c r="I274" s="310"/>
      <c r="K274" s="112">
        <v>5.0</v>
      </c>
      <c r="L274" s="120" t="s">
        <v>1988</v>
      </c>
      <c r="M274" s="97" t="s">
        <v>2370</v>
      </c>
      <c r="N274" s="168" t="s">
        <v>2371</v>
      </c>
      <c r="P274" s="98">
        <v>7.2731012E7</v>
      </c>
      <c r="Q274" s="97" t="s">
        <v>2372</v>
      </c>
      <c r="R274" s="97"/>
    </row>
    <row r="275">
      <c r="A275" s="308" t="s">
        <v>1989</v>
      </c>
      <c r="B275" s="207" t="s">
        <v>1990</v>
      </c>
      <c r="C275" s="265"/>
      <c r="D275" s="265"/>
      <c r="E275" s="265"/>
      <c r="F275" s="265"/>
      <c r="G275" s="265"/>
      <c r="H275" s="265"/>
      <c r="I275" s="310"/>
      <c r="K275" s="112" t="s">
        <v>1989</v>
      </c>
      <c r="L275" s="120" t="s">
        <v>2019</v>
      </c>
      <c r="M275" s="225" t="s">
        <v>2373</v>
      </c>
      <c r="N275" s="225" t="s">
        <v>2374</v>
      </c>
      <c r="O275" s="155" t="s">
        <v>2375</v>
      </c>
      <c r="P275" s="96">
        <v>7.8508625E7</v>
      </c>
      <c r="Q275" s="225" t="s">
        <v>2376</v>
      </c>
    </row>
    <row r="276">
      <c r="A276" s="308" t="s">
        <v>1995</v>
      </c>
      <c r="B276" s="312"/>
      <c r="C276" s="265"/>
      <c r="D276" s="265"/>
      <c r="E276" s="265"/>
      <c r="F276" s="265"/>
      <c r="G276" s="265"/>
      <c r="H276" s="265"/>
      <c r="I276" s="310"/>
      <c r="K276" s="112" t="s">
        <v>1995</v>
      </c>
      <c r="L276" s="120" t="s">
        <v>2064</v>
      </c>
      <c r="M276" s="152" t="s">
        <v>2377</v>
      </c>
      <c r="N276" s="152" t="s">
        <v>2378</v>
      </c>
      <c r="P276" s="167">
        <f>59163970206</f>
        <v>59163970206</v>
      </c>
      <c r="Q276" s="152" t="s">
        <v>2379</v>
      </c>
    </row>
    <row r="277">
      <c r="A277" s="113"/>
      <c r="B277" s="154"/>
      <c r="I277" s="99"/>
      <c r="K277" s="112" t="s">
        <v>2044</v>
      </c>
      <c r="L277" s="120" t="s">
        <v>2019</v>
      </c>
      <c r="M277" s="152" t="s">
        <v>2380</v>
      </c>
      <c r="N277" s="152" t="s">
        <v>2381</v>
      </c>
      <c r="O277" s="152" t="s">
        <v>2382</v>
      </c>
      <c r="P277" s="152">
        <v>6.8746354E7</v>
      </c>
      <c r="Q277" s="152" t="s">
        <v>2383</v>
      </c>
    </row>
    <row r="278">
      <c r="A278" s="113"/>
      <c r="B278" s="154"/>
      <c r="I278" s="99"/>
      <c r="K278" s="113"/>
      <c r="L278" s="154"/>
    </row>
    <row r="279">
      <c r="A279" s="302">
        <v>50.0</v>
      </c>
      <c r="B279" s="303" t="s">
        <v>2384</v>
      </c>
      <c r="C279" s="304" t="s">
        <v>2385</v>
      </c>
      <c r="D279" s="117"/>
      <c r="E279" s="117"/>
      <c r="F279" s="117"/>
      <c r="G279" s="117"/>
      <c r="H279" s="117"/>
      <c r="I279" s="118"/>
      <c r="J279" s="117"/>
      <c r="K279" s="302">
        <v>51.0</v>
      </c>
      <c r="L279" s="303" t="s">
        <v>2386</v>
      </c>
      <c r="M279" s="304" t="s">
        <v>2387</v>
      </c>
      <c r="N279" s="117"/>
      <c r="O279" s="117"/>
      <c r="P279" s="117"/>
      <c r="Q279" s="117"/>
      <c r="R279" s="117"/>
    </row>
    <row r="280">
      <c r="A280" s="113"/>
      <c r="B280" s="120" t="s">
        <v>1976</v>
      </c>
      <c r="C280" s="97" t="s">
        <v>2388</v>
      </c>
      <c r="D280" s="98">
        <v>7.7954445E7</v>
      </c>
      <c r="E280" s="97" t="s">
        <v>2389</v>
      </c>
      <c r="F280" s="97" t="s">
        <v>2390</v>
      </c>
      <c r="I280" s="99"/>
      <c r="K280" s="113"/>
      <c r="L280" s="120" t="s">
        <v>1976</v>
      </c>
      <c r="M280" s="97"/>
      <c r="N280" s="98"/>
      <c r="O280" s="97"/>
      <c r="P280" s="98"/>
      <c r="R280" s="175" t="s">
        <v>1977</v>
      </c>
    </row>
    <row r="281">
      <c r="A281" s="112">
        <v>1.0</v>
      </c>
      <c r="B281" s="120" t="s">
        <v>1982</v>
      </c>
      <c r="C281" s="97" t="s">
        <v>2391</v>
      </c>
      <c r="D281" s="168" t="s">
        <v>2392</v>
      </c>
      <c r="F281" s="98">
        <v>6.9795331E7</v>
      </c>
      <c r="G281" s="97" t="s">
        <v>2393</v>
      </c>
      <c r="I281" s="99"/>
      <c r="K281" s="112">
        <v>1.0</v>
      </c>
      <c r="L281" s="120" t="s">
        <v>1982</v>
      </c>
      <c r="M281" s="97" t="s">
        <v>2394</v>
      </c>
      <c r="N281" s="168" t="s">
        <v>2395</v>
      </c>
      <c r="O281" s="104" t="s">
        <v>2396</v>
      </c>
      <c r="P281" s="98">
        <v>7.8509259E7</v>
      </c>
      <c r="Q281" s="97" t="s">
        <v>2397</v>
      </c>
      <c r="R281" s="313" t="s">
        <v>2398</v>
      </c>
    </row>
    <row r="282">
      <c r="A282" s="112">
        <v>2.0</v>
      </c>
      <c r="B282" s="120" t="s">
        <v>1984</v>
      </c>
      <c r="C282" s="97" t="s">
        <v>2399</v>
      </c>
      <c r="D282" s="168" t="s">
        <v>2400</v>
      </c>
      <c r="F282" s="98">
        <v>6.2000436E7</v>
      </c>
      <c r="G282" s="97" t="s">
        <v>2401</v>
      </c>
      <c r="I282" s="99"/>
      <c r="K282" s="112">
        <v>2.0</v>
      </c>
      <c r="L282" s="120" t="s">
        <v>1984</v>
      </c>
      <c r="M282" s="97" t="s">
        <v>2402</v>
      </c>
      <c r="N282" s="314" t="s">
        <v>2403</v>
      </c>
      <c r="O282" s="315" t="s">
        <v>2404</v>
      </c>
      <c r="P282" s="98">
        <v>6.343182E7</v>
      </c>
      <c r="Q282" s="97" t="s">
        <v>2405</v>
      </c>
      <c r="R282" s="97"/>
    </row>
    <row r="283">
      <c r="A283" s="112">
        <v>3.0</v>
      </c>
      <c r="B283" s="120" t="s">
        <v>1985</v>
      </c>
      <c r="C283" s="97" t="s">
        <v>2406</v>
      </c>
      <c r="D283" s="168" t="s">
        <v>2407</v>
      </c>
      <c r="F283" s="98">
        <v>7.8835559E7</v>
      </c>
      <c r="G283" s="97" t="s">
        <v>2408</v>
      </c>
      <c r="I283" s="99"/>
      <c r="K283" s="112">
        <v>3.0</v>
      </c>
      <c r="L283" s="120" t="s">
        <v>1985</v>
      </c>
      <c r="M283" s="97" t="s">
        <v>2409</v>
      </c>
      <c r="N283" s="168" t="s">
        <v>2410</v>
      </c>
      <c r="P283" s="98">
        <v>6.9925114E7</v>
      </c>
      <c r="Q283" s="97" t="s">
        <v>2411</v>
      </c>
      <c r="R283" s="97"/>
    </row>
    <row r="284">
      <c r="A284" s="112">
        <v>4.0</v>
      </c>
      <c r="B284" s="120" t="s">
        <v>1986</v>
      </c>
      <c r="C284" s="316" t="s">
        <v>2412</v>
      </c>
      <c r="D284" s="313" t="s">
        <v>2413</v>
      </c>
      <c r="E284" s="150"/>
      <c r="F284" s="150"/>
      <c r="G284" s="171" t="s">
        <v>2414</v>
      </c>
      <c r="I284" s="99"/>
      <c r="K284" s="112">
        <v>4.0</v>
      </c>
      <c r="L284" s="120" t="s">
        <v>1986</v>
      </c>
      <c r="M284" s="97" t="s">
        <v>2415</v>
      </c>
      <c r="N284" s="168" t="s">
        <v>2416</v>
      </c>
      <c r="P284" s="98">
        <v>7.6951446E7</v>
      </c>
      <c r="Q284" s="97" t="s">
        <v>2417</v>
      </c>
      <c r="R284" s="97"/>
    </row>
    <row r="285">
      <c r="A285" s="112">
        <v>5.0</v>
      </c>
      <c r="B285" s="120" t="s">
        <v>1988</v>
      </c>
      <c r="C285" s="316" t="s">
        <v>2418</v>
      </c>
      <c r="D285" s="313" t="s">
        <v>2419</v>
      </c>
      <c r="E285" s="150"/>
      <c r="F285" s="150"/>
      <c r="G285" s="150"/>
      <c r="I285" s="99"/>
      <c r="K285" s="112">
        <v>5.0</v>
      </c>
      <c r="L285" s="120" t="s">
        <v>1988</v>
      </c>
      <c r="M285" s="97" t="s">
        <v>2420</v>
      </c>
      <c r="N285" s="168" t="s">
        <v>2421</v>
      </c>
      <c r="P285" s="98">
        <v>6.4160654E7</v>
      </c>
      <c r="Q285" s="97" t="s">
        <v>2422</v>
      </c>
      <c r="R285" s="97"/>
    </row>
    <row r="286">
      <c r="A286" s="112" t="s">
        <v>1989</v>
      </c>
      <c r="B286" s="120" t="s">
        <v>1990</v>
      </c>
      <c r="C286" s="317" t="s">
        <v>2388</v>
      </c>
      <c r="D286" s="318" t="s">
        <v>2423</v>
      </c>
      <c r="E286" s="319"/>
      <c r="F286" s="320">
        <v>7.7954445E7</v>
      </c>
      <c r="G286" s="317" t="s">
        <v>2389</v>
      </c>
      <c r="I286" s="99"/>
      <c r="K286" s="112" t="s">
        <v>1989</v>
      </c>
      <c r="L286" s="120" t="s">
        <v>2137</v>
      </c>
      <c r="M286" s="97" t="s">
        <v>2424</v>
      </c>
      <c r="N286" s="168" t="s">
        <v>2425</v>
      </c>
      <c r="P286" s="98">
        <v>7.3594966E7</v>
      </c>
      <c r="Q286" s="97" t="s">
        <v>2426</v>
      </c>
    </row>
    <row r="287">
      <c r="A287" s="112" t="s">
        <v>1995</v>
      </c>
      <c r="B287" s="154"/>
      <c r="C287" s="97" t="s">
        <v>2427</v>
      </c>
      <c r="D287" s="168" t="s">
        <v>2428</v>
      </c>
      <c r="E287" s="104" t="s">
        <v>2369</v>
      </c>
      <c r="F287" s="98">
        <v>7.5281442E7</v>
      </c>
      <c r="G287" s="97" t="s">
        <v>2429</v>
      </c>
      <c r="I287" s="99"/>
      <c r="K287" s="112" t="s">
        <v>1995</v>
      </c>
      <c r="L287" s="120" t="s">
        <v>2064</v>
      </c>
      <c r="M287" s="129" t="s">
        <v>1329</v>
      </c>
      <c r="N287" s="130" t="s">
        <v>1330</v>
      </c>
      <c r="O287" s="144" t="s">
        <v>1331</v>
      </c>
      <c r="P287" s="132" t="s">
        <v>238</v>
      </c>
      <c r="Q287" s="133">
        <v>7.2352687E7</v>
      </c>
      <c r="R287" s="130" t="s">
        <v>1333</v>
      </c>
    </row>
    <row r="288">
      <c r="A288" s="113"/>
      <c r="B288" s="154"/>
      <c r="H288" s="97"/>
      <c r="I288" s="97"/>
      <c r="J288" s="321"/>
      <c r="K288" s="322"/>
      <c r="L288" s="103"/>
      <c r="M288" s="97"/>
      <c r="O288" s="97"/>
      <c r="P288" s="98"/>
      <c r="Q288" s="97"/>
      <c r="R288" s="97"/>
    </row>
    <row r="289">
      <c r="A289" s="113"/>
      <c r="B289" s="154"/>
      <c r="H289" s="97"/>
      <c r="I289" s="97"/>
      <c r="J289" s="321"/>
      <c r="K289" s="322"/>
      <c r="L289" s="103"/>
      <c r="M289" s="97"/>
      <c r="N289" s="97"/>
      <c r="O289" s="97"/>
      <c r="P289" s="98"/>
      <c r="Q289" s="97"/>
      <c r="R289" s="97"/>
    </row>
    <row r="290">
      <c r="A290" s="302">
        <v>52.0</v>
      </c>
      <c r="B290" s="303" t="s">
        <v>2430</v>
      </c>
      <c r="C290" s="304" t="s">
        <v>2431</v>
      </c>
      <c r="D290" s="117"/>
      <c r="E290" s="117"/>
      <c r="F290" s="117"/>
      <c r="G290" s="117"/>
      <c r="H290" s="97"/>
      <c r="I290" s="97"/>
      <c r="J290" s="110"/>
      <c r="K290" s="114">
        <v>53.0</v>
      </c>
      <c r="L290" s="323" t="s">
        <v>1867</v>
      </c>
      <c r="M290" s="324" t="s">
        <v>1369</v>
      </c>
      <c r="N290" s="117"/>
      <c r="O290" s="117"/>
      <c r="P290" s="117"/>
      <c r="Q290" s="117"/>
      <c r="R290" s="97"/>
      <c r="S290" s="97"/>
    </row>
    <row r="291">
      <c r="A291" s="113"/>
      <c r="B291" s="120" t="s">
        <v>1976</v>
      </c>
      <c r="C291" s="97"/>
      <c r="D291" s="98"/>
      <c r="E291" s="97"/>
      <c r="F291" s="98"/>
      <c r="H291" s="97"/>
      <c r="I291" s="97"/>
      <c r="J291" s="110"/>
      <c r="K291" s="113"/>
      <c r="L291" s="120" t="s">
        <v>1976</v>
      </c>
      <c r="M291" s="123" t="s">
        <v>1870</v>
      </c>
      <c r="N291" s="133">
        <v>7.4444075E7</v>
      </c>
      <c r="O291" s="130" t="s">
        <v>1872</v>
      </c>
      <c r="P291" s="133">
        <v>1.2428195E7</v>
      </c>
      <c r="R291" s="97"/>
      <c r="S291" s="238" t="s">
        <v>1977</v>
      </c>
    </row>
    <row r="292">
      <c r="A292" s="112">
        <v>1.0</v>
      </c>
      <c r="B292" s="120" t="s">
        <v>1982</v>
      </c>
      <c r="C292" s="97" t="s">
        <v>2432</v>
      </c>
      <c r="D292" s="168" t="s">
        <v>2433</v>
      </c>
      <c r="E292" s="104"/>
      <c r="F292" s="98">
        <v>7.3296079E7</v>
      </c>
      <c r="G292" s="97" t="s">
        <v>2434</v>
      </c>
      <c r="H292" s="97"/>
      <c r="I292" s="104"/>
      <c r="J292" s="110"/>
      <c r="K292" s="112">
        <v>1.0</v>
      </c>
      <c r="L292" s="120" t="s">
        <v>1982</v>
      </c>
      <c r="M292" s="130" t="s">
        <v>1873</v>
      </c>
      <c r="N292" s="176" t="s">
        <v>1874</v>
      </c>
      <c r="O292" s="199" t="s">
        <v>1875</v>
      </c>
      <c r="P292" s="325" t="s">
        <v>225</v>
      </c>
      <c r="Q292" s="133">
        <v>7.6128924E7</v>
      </c>
      <c r="R292" s="130" t="s">
        <v>1877</v>
      </c>
      <c r="S292" s="104"/>
    </row>
    <row r="293">
      <c r="A293" s="112">
        <v>2.0</v>
      </c>
      <c r="B293" s="120" t="s">
        <v>1984</v>
      </c>
      <c r="C293" s="97"/>
      <c r="D293" s="97"/>
      <c r="E293" s="97"/>
      <c r="F293" s="326">
        <v>7.8803338E7</v>
      </c>
      <c r="G293" s="97"/>
      <c r="H293" s="97"/>
      <c r="I293" s="97"/>
      <c r="J293" s="110"/>
      <c r="K293" s="112">
        <v>2.0</v>
      </c>
      <c r="L293" s="120" t="s">
        <v>1984</v>
      </c>
      <c r="M293" s="327" t="s">
        <v>1878</v>
      </c>
      <c r="N293" s="328" t="s">
        <v>1879</v>
      </c>
      <c r="O293" s="327" t="s">
        <v>1880</v>
      </c>
      <c r="P293" s="329" t="s">
        <v>225</v>
      </c>
      <c r="Q293" s="330">
        <v>7.0589787E7</v>
      </c>
      <c r="R293" s="327" t="s">
        <v>1882</v>
      </c>
      <c r="S293" s="97"/>
    </row>
    <row r="294">
      <c r="A294" s="112">
        <v>3.0</v>
      </c>
      <c r="B294" s="120" t="s">
        <v>1985</v>
      </c>
      <c r="C294" s="97" t="s">
        <v>2435</v>
      </c>
      <c r="D294" s="168" t="s">
        <v>2436</v>
      </c>
      <c r="F294" s="98">
        <v>7.2610704E7</v>
      </c>
      <c r="G294" s="97" t="s">
        <v>2437</v>
      </c>
      <c r="H294" s="97"/>
      <c r="I294" s="97"/>
      <c r="J294" s="110"/>
      <c r="K294" s="112">
        <v>3.0</v>
      </c>
      <c r="L294" s="120" t="s">
        <v>1985</v>
      </c>
      <c r="M294" s="130" t="s">
        <v>1883</v>
      </c>
      <c r="N294" s="176" t="s">
        <v>1884</v>
      </c>
      <c r="O294" s="199" t="s">
        <v>1885</v>
      </c>
      <c r="P294" s="325" t="s">
        <v>225</v>
      </c>
      <c r="Q294" s="133">
        <v>7.5787248E7</v>
      </c>
      <c r="R294" s="130" t="s">
        <v>1887</v>
      </c>
      <c r="S294" s="97"/>
    </row>
    <row r="295">
      <c r="A295" s="112">
        <v>4.0</v>
      </c>
      <c r="B295" s="120" t="s">
        <v>1986</v>
      </c>
      <c r="C295" s="97" t="s">
        <v>2438</v>
      </c>
      <c r="D295" s="168" t="s">
        <v>2439</v>
      </c>
      <c r="F295" s="98">
        <v>6.0363774E7</v>
      </c>
      <c r="G295" s="97" t="s">
        <v>2440</v>
      </c>
      <c r="H295" s="97"/>
      <c r="I295" s="97"/>
      <c r="J295" s="110"/>
      <c r="K295" s="112">
        <v>4.0</v>
      </c>
      <c r="L295" s="120" t="s">
        <v>1986</v>
      </c>
      <c r="M295" s="130" t="s">
        <v>1870</v>
      </c>
      <c r="N295" s="176" t="s">
        <v>1888</v>
      </c>
      <c r="O295" s="199" t="s">
        <v>1889</v>
      </c>
      <c r="P295" s="325" t="s">
        <v>238</v>
      </c>
      <c r="Q295" s="133">
        <v>7.4444075E7</v>
      </c>
      <c r="R295" s="130" t="s">
        <v>1872</v>
      </c>
      <c r="S295" s="97"/>
    </row>
    <row r="296">
      <c r="A296" s="112">
        <v>5.0</v>
      </c>
      <c r="B296" s="120" t="s">
        <v>1988</v>
      </c>
      <c r="C296" s="97" t="s">
        <v>2441</v>
      </c>
      <c r="D296" s="168" t="s">
        <v>2442</v>
      </c>
      <c r="F296" s="98">
        <v>6.2049881E7</v>
      </c>
      <c r="G296" s="97" t="s">
        <v>2443</v>
      </c>
      <c r="H296" s="97"/>
      <c r="I296" s="97"/>
      <c r="J296" s="110"/>
      <c r="K296" s="112">
        <v>5.0</v>
      </c>
      <c r="L296" s="120" t="s">
        <v>1988</v>
      </c>
      <c r="M296" s="130" t="s">
        <v>1891</v>
      </c>
      <c r="N296" s="176" t="s">
        <v>1892</v>
      </c>
      <c r="O296" s="199" t="s">
        <v>1893</v>
      </c>
      <c r="P296" s="325" t="s">
        <v>225</v>
      </c>
      <c r="Q296" s="133">
        <v>7.0330335E7</v>
      </c>
      <c r="R296" s="130" t="s">
        <v>1895</v>
      </c>
      <c r="S296" s="97"/>
    </row>
    <row r="297">
      <c r="A297" s="112" t="s">
        <v>1989</v>
      </c>
      <c r="B297" s="120" t="s">
        <v>2064</v>
      </c>
      <c r="C297" s="97" t="s">
        <v>2444</v>
      </c>
      <c r="D297" s="225" t="s">
        <v>2445</v>
      </c>
      <c r="F297" s="96">
        <v>7.7856954E7</v>
      </c>
      <c r="G297" s="97" t="s">
        <v>2446</v>
      </c>
      <c r="H297" s="97"/>
      <c r="I297" s="97"/>
      <c r="J297" s="110"/>
      <c r="K297" s="112" t="s">
        <v>1989</v>
      </c>
      <c r="L297" s="120" t="s">
        <v>2064</v>
      </c>
      <c r="M297" s="225" t="s">
        <v>2447</v>
      </c>
      <c r="N297" s="168" t="s">
        <v>2448</v>
      </c>
      <c r="P297" s="98"/>
      <c r="Q297" s="225">
        <v>7.4420137E7</v>
      </c>
      <c r="R297" s="225" t="s">
        <v>2449</v>
      </c>
      <c r="S297" s="104"/>
    </row>
    <row r="298">
      <c r="A298" s="112" t="s">
        <v>1995</v>
      </c>
      <c r="B298" s="120" t="s">
        <v>2055</v>
      </c>
      <c r="C298" s="152" t="s">
        <v>2450</v>
      </c>
      <c r="D298" s="152" t="s">
        <v>2451</v>
      </c>
      <c r="F298" s="167">
        <f>51934832365</f>
        <v>51934832365</v>
      </c>
      <c r="G298" s="152" t="s">
        <v>2452</v>
      </c>
      <c r="H298" s="97"/>
      <c r="I298" s="97"/>
      <c r="J298" s="110"/>
      <c r="K298" s="112" t="s">
        <v>1995</v>
      </c>
      <c r="L298" s="154"/>
      <c r="M298" s="152" t="s">
        <v>2453</v>
      </c>
      <c r="N298" s="182" t="s">
        <v>2454</v>
      </c>
      <c r="O298" s="155" t="s">
        <v>2455</v>
      </c>
      <c r="Q298" s="152">
        <v>7287830.0</v>
      </c>
      <c r="R298" s="225" t="s">
        <v>2456</v>
      </c>
      <c r="S298" s="97"/>
    </row>
    <row r="299">
      <c r="A299" s="113"/>
      <c r="B299" s="154"/>
      <c r="I299" s="97"/>
      <c r="J299" s="110"/>
      <c r="K299" s="98"/>
      <c r="L299" s="331"/>
      <c r="M299" s="97"/>
      <c r="N299" s="97"/>
      <c r="O299" s="97"/>
      <c r="P299" s="97"/>
      <c r="R299" s="97"/>
      <c r="S299" s="97"/>
    </row>
    <row r="300">
      <c r="A300" s="113"/>
      <c r="B300" s="154"/>
      <c r="I300" s="97"/>
      <c r="J300" s="110"/>
      <c r="K300" s="332"/>
      <c r="L300" s="331"/>
      <c r="M300" s="97"/>
      <c r="N300" s="97"/>
      <c r="O300" s="97"/>
      <c r="P300" s="97"/>
      <c r="Q300" s="97"/>
      <c r="R300" s="97"/>
      <c r="S300" s="97"/>
    </row>
    <row r="301">
      <c r="A301" s="114">
        <v>54.0</v>
      </c>
      <c r="B301" s="323" t="s">
        <v>1896</v>
      </c>
      <c r="C301" s="324" t="s">
        <v>1897</v>
      </c>
      <c r="D301" s="117"/>
      <c r="E301" s="117"/>
      <c r="F301" s="117"/>
      <c r="G301" s="117"/>
      <c r="H301" s="117"/>
      <c r="I301" s="333"/>
      <c r="J301" s="110"/>
      <c r="K301" s="114">
        <v>55.0</v>
      </c>
      <c r="L301" s="334" t="s">
        <v>1927</v>
      </c>
      <c r="M301" s="324" t="s">
        <v>1928</v>
      </c>
      <c r="N301" s="117"/>
      <c r="O301" s="117"/>
      <c r="P301" s="117"/>
      <c r="Q301" s="117"/>
      <c r="R301" s="117"/>
      <c r="S301" s="333"/>
      <c r="T301" s="335"/>
      <c r="U301" s="335"/>
      <c r="V301" s="335"/>
      <c r="W301" s="335"/>
      <c r="X301" s="335"/>
      <c r="Y301" s="335"/>
      <c r="Z301" s="335"/>
      <c r="AA301" s="335"/>
      <c r="AB301" s="335"/>
      <c r="AC301" s="335"/>
      <c r="AD301" s="335"/>
      <c r="AE301" s="335"/>
      <c r="AF301" s="335"/>
      <c r="AG301" s="335"/>
      <c r="AH301" s="335"/>
      <c r="AI301" s="335"/>
      <c r="AJ301" s="335"/>
      <c r="AK301" s="335"/>
      <c r="AL301" s="335"/>
      <c r="AM301" s="335"/>
      <c r="AN301" s="335"/>
      <c r="AO301" s="335"/>
      <c r="AP301" s="335"/>
      <c r="AQ301" s="335"/>
      <c r="AR301" s="335"/>
      <c r="AS301" s="335"/>
      <c r="AT301" s="335"/>
      <c r="AU301" s="335"/>
      <c r="AV301" s="335"/>
      <c r="AW301" s="335"/>
      <c r="AX301" s="335"/>
      <c r="AY301" s="335"/>
      <c r="AZ301" s="335"/>
      <c r="BA301" s="335"/>
      <c r="BB301" s="335"/>
      <c r="BC301" s="335"/>
      <c r="BD301" s="335"/>
      <c r="BE301" s="335"/>
    </row>
    <row r="302">
      <c r="A302" s="113"/>
      <c r="B302" s="120" t="s">
        <v>1976</v>
      </c>
      <c r="C302" s="161" t="s">
        <v>1899</v>
      </c>
      <c r="D302" s="126">
        <v>6.5304577E7</v>
      </c>
      <c r="E302" s="161" t="s">
        <v>1901</v>
      </c>
      <c r="F302" s="126">
        <v>9424521.0</v>
      </c>
      <c r="I302" s="336" t="s">
        <v>1977</v>
      </c>
      <c r="J302" s="110"/>
      <c r="K302" s="113"/>
      <c r="L302" s="120" t="s">
        <v>1976</v>
      </c>
      <c r="M302" s="337" t="s">
        <v>1930</v>
      </c>
      <c r="N302" s="338">
        <v>6.0673501E7</v>
      </c>
      <c r="O302" s="337" t="s">
        <v>1932</v>
      </c>
      <c r="P302" s="338">
        <v>1.111032E7</v>
      </c>
      <c r="S302" s="336" t="s">
        <v>1977</v>
      </c>
    </row>
    <row r="303">
      <c r="A303" s="112">
        <v>1.0</v>
      </c>
      <c r="B303" s="120" t="s">
        <v>1982</v>
      </c>
      <c r="C303" s="136" t="s">
        <v>1902</v>
      </c>
      <c r="D303" s="136" t="s">
        <v>1903</v>
      </c>
      <c r="E303" s="184" t="s">
        <v>1904</v>
      </c>
      <c r="F303" s="136" t="s">
        <v>238</v>
      </c>
      <c r="G303" s="139">
        <v>7.4584678E7</v>
      </c>
      <c r="H303" s="136" t="s">
        <v>1906</v>
      </c>
      <c r="I303" s="97"/>
      <c r="J303" s="110"/>
      <c r="K303" s="112">
        <v>1.0</v>
      </c>
      <c r="L303" s="120" t="s">
        <v>1982</v>
      </c>
      <c r="M303" s="337" t="s">
        <v>1933</v>
      </c>
      <c r="N303" s="339" t="s">
        <v>1934</v>
      </c>
      <c r="O303" s="340" t="s">
        <v>1935</v>
      </c>
      <c r="P303" s="337" t="s">
        <v>238</v>
      </c>
      <c r="Q303" s="338">
        <v>7.4274227E7</v>
      </c>
      <c r="R303" s="339" t="s">
        <v>1937</v>
      </c>
      <c r="S303" s="97"/>
    </row>
    <row r="304">
      <c r="A304" s="112">
        <v>2.0</v>
      </c>
      <c r="B304" s="120" t="s">
        <v>1984</v>
      </c>
      <c r="C304" s="136" t="s">
        <v>1907</v>
      </c>
      <c r="D304" s="136" t="s">
        <v>1908</v>
      </c>
      <c r="E304" s="184" t="s">
        <v>1909</v>
      </c>
      <c r="F304" s="136" t="s">
        <v>238</v>
      </c>
      <c r="G304" s="139">
        <v>6.7255228E7</v>
      </c>
      <c r="H304" s="136" t="s">
        <v>1911</v>
      </c>
      <c r="I304" s="99"/>
      <c r="K304" s="112">
        <v>2.0</v>
      </c>
      <c r="L304" s="120" t="s">
        <v>1984</v>
      </c>
      <c r="M304" s="337" t="s">
        <v>1938</v>
      </c>
      <c r="N304" s="339" t="s">
        <v>1939</v>
      </c>
      <c r="O304" s="340" t="s">
        <v>1940</v>
      </c>
      <c r="P304" s="337" t="s">
        <v>238</v>
      </c>
      <c r="Q304" s="338">
        <v>6.7050699E7</v>
      </c>
      <c r="R304" s="337" t="s">
        <v>1942</v>
      </c>
    </row>
    <row r="305">
      <c r="A305" s="112">
        <v>3.0</v>
      </c>
      <c r="B305" s="120" t="s">
        <v>1985</v>
      </c>
      <c r="C305" s="136" t="s">
        <v>1899</v>
      </c>
      <c r="D305" s="136" t="s">
        <v>1912</v>
      </c>
      <c r="E305" s="184" t="s">
        <v>1913</v>
      </c>
      <c r="F305" s="136" t="s">
        <v>238</v>
      </c>
      <c r="G305" s="139">
        <v>6.5304577E7</v>
      </c>
      <c r="H305" s="136" t="s">
        <v>1901</v>
      </c>
      <c r="I305" s="99"/>
      <c r="K305" s="112">
        <v>3.0</v>
      </c>
      <c r="L305" s="120" t="s">
        <v>1985</v>
      </c>
      <c r="M305" s="337" t="s">
        <v>1943</v>
      </c>
      <c r="N305" s="339" t="s">
        <v>1944</v>
      </c>
      <c r="O305" s="340" t="s">
        <v>1945</v>
      </c>
      <c r="P305" s="337" t="s">
        <v>238</v>
      </c>
      <c r="Q305" s="338">
        <v>7.3740097E7</v>
      </c>
      <c r="R305" s="339" t="s">
        <v>2457</v>
      </c>
    </row>
    <row r="306">
      <c r="A306" s="112">
        <v>4.0</v>
      </c>
      <c r="B306" s="120" t="s">
        <v>1986</v>
      </c>
      <c r="C306" s="136" t="s">
        <v>1914</v>
      </c>
      <c r="D306" s="136" t="s">
        <v>1915</v>
      </c>
      <c r="E306" s="341" t="s">
        <v>1916</v>
      </c>
      <c r="F306" s="136" t="s">
        <v>238</v>
      </c>
      <c r="G306" s="139">
        <v>7.0433278E7</v>
      </c>
      <c r="H306" s="136" t="s">
        <v>1918</v>
      </c>
      <c r="I306" s="99"/>
      <c r="K306" s="112">
        <v>4.0</v>
      </c>
      <c r="L306" s="120" t="s">
        <v>1986</v>
      </c>
      <c r="M306" s="337" t="s">
        <v>1947</v>
      </c>
      <c r="N306" s="339" t="s">
        <v>1948</v>
      </c>
      <c r="O306" s="340" t="s">
        <v>1949</v>
      </c>
      <c r="P306" s="337" t="s">
        <v>238</v>
      </c>
      <c r="Q306" s="338">
        <v>6.9886156E7</v>
      </c>
      <c r="R306" s="337" t="s">
        <v>1951</v>
      </c>
    </row>
    <row r="307">
      <c r="A307" s="112">
        <v>5.0</v>
      </c>
      <c r="B307" s="120" t="s">
        <v>1988</v>
      </c>
      <c r="C307" s="136" t="s">
        <v>1919</v>
      </c>
      <c r="D307" s="136" t="s">
        <v>1920</v>
      </c>
      <c r="E307" s="184" t="s">
        <v>1921</v>
      </c>
      <c r="F307" s="136" t="s">
        <v>238</v>
      </c>
      <c r="G307" s="139">
        <v>7.5705242E7</v>
      </c>
      <c r="H307" s="136" t="s">
        <v>1923</v>
      </c>
      <c r="I307" s="99"/>
      <c r="K307" s="112">
        <v>5.0</v>
      </c>
      <c r="L307" s="120" t="s">
        <v>1988</v>
      </c>
      <c r="M307" s="337" t="s">
        <v>1930</v>
      </c>
      <c r="N307" s="339" t="s">
        <v>1952</v>
      </c>
      <c r="O307" s="340" t="s">
        <v>1953</v>
      </c>
      <c r="P307" s="337" t="s">
        <v>238</v>
      </c>
      <c r="Q307" s="338">
        <v>6.0673501E7</v>
      </c>
      <c r="R307" s="337" t="s">
        <v>1932</v>
      </c>
    </row>
    <row r="308">
      <c r="A308" s="112" t="s">
        <v>1989</v>
      </c>
      <c r="B308" s="120" t="s">
        <v>2458</v>
      </c>
      <c r="C308" s="152" t="s">
        <v>2459</v>
      </c>
      <c r="D308" s="342" t="s">
        <v>2460</v>
      </c>
      <c r="E308" s="155" t="s">
        <v>1925</v>
      </c>
      <c r="G308" s="150"/>
      <c r="H308" s="150"/>
      <c r="I308" s="99"/>
      <c r="K308" s="112" t="s">
        <v>1989</v>
      </c>
      <c r="L308" s="120" t="s">
        <v>1990</v>
      </c>
    </row>
    <row r="309">
      <c r="A309" s="112" t="s">
        <v>1995</v>
      </c>
      <c r="B309" s="154"/>
      <c r="C309" s="97"/>
      <c r="D309" s="97"/>
      <c r="F309" s="98"/>
      <c r="G309" s="97"/>
      <c r="I309" s="99"/>
      <c r="K309" s="112" t="s">
        <v>1995</v>
      </c>
      <c r="L309" s="154"/>
      <c r="M309" s="97"/>
      <c r="N309" s="97"/>
      <c r="P309" s="98"/>
      <c r="Q309" s="97"/>
    </row>
    <row r="310">
      <c r="A310" s="113"/>
      <c r="B310" s="154"/>
      <c r="I310" s="99"/>
      <c r="K310" s="113"/>
      <c r="L310" s="154"/>
    </row>
    <row r="311">
      <c r="A311" s="113"/>
      <c r="B311" s="154"/>
      <c r="I311" s="99"/>
      <c r="K311" s="113"/>
      <c r="L311" s="154"/>
    </row>
    <row r="312">
      <c r="A312" s="343">
        <v>56.0</v>
      </c>
      <c r="B312" s="344" t="s">
        <v>1955</v>
      </c>
      <c r="C312" s="240" t="s">
        <v>1956</v>
      </c>
      <c r="D312" s="117"/>
      <c r="E312" s="117"/>
      <c r="F312" s="117"/>
      <c r="G312" s="117"/>
      <c r="H312" s="117"/>
      <c r="I312" s="118"/>
      <c r="K312" s="113"/>
      <c r="L312" s="154"/>
    </row>
    <row r="313">
      <c r="A313" s="113"/>
      <c r="B313" s="120" t="s">
        <v>1976</v>
      </c>
      <c r="C313" s="152" t="s">
        <v>1957</v>
      </c>
      <c r="D313" s="152">
        <v>7.4032191E7</v>
      </c>
      <c r="E313" s="152" t="s">
        <v>1958</v>
      </c>
      <c r="F313" s="152">
        <v>7081605.0</v>
      </c>
      <c r="I313" s="124" t="s">
        <v>1977</v>
      </c>
      <c r="K313" s="113"/>
      <c r="L313" s="154"/>
    </row>
    <row r="314">
      <c r="A314" s="112">
        <v>1.0</v>
      </c>
      <c r="B314" s="120" t="s">
        <v>1982</v>
      </c>
      <c r="C314" s="152" t="s">
        <v>1959</v>
      </c>
      <c r="D314" s="182" t="s">
        <v>2461</v>
      </c>
      <c r="E314" s="155" t="s">
        <v>2462</v>
      </c>
      <c r="G314" s="152" t="s">
        <v>1962</v>
      </c>
      <c r="H314" s="152">
        <v>6.5633835E7</v>
      </c>
      <c r="I314" s="99"/>
      <c r="K314" s="113"/>
      <c r="L314" s="154"/>
    </row>
    <row r="315">
      <c r="A315" s="112">
        <v>2.0</v>
      </c>
      <c r="B315" s="120" t="s">
        <v>1984</v>
      </c>
      <c r="C315" s="152" t="s">
        <v>1963</v>
      </c>
      <c r="D315" s="152" t="s">
        <v>1964</v>
      </c>
      <c r="G315" s="152">
        <v>6.7046806E7</v>
      </c>
      <c r="H315" s="152" t="s">
        <v>1965</v>
      </c>
      <c r="I315" s="152">
        <v>9973175.0</v>
      </c>
      <c r="K315" s="113"/>
      <c r="L315" s="154"/>
    </row>
    <row r="316">
      <c r="A316" s="112">
        <v>3.0</v>
      </c>
      <c r="B316" s="120" t="s">
        <v>1985</v>
      </c>
      <c r="C316" s="152" t="s">
        <v>1957</v>
      </c>
      <c r="D316" s="152" t="s">
        <v>1966</v>
      </c>
      <c r="G316" s="152">
        <v>7.4032191E7</v>
      </c>
      <c r="H316" s="152" t="s">
        <v>1967</v>
      </c>
      <c r="I316" s="102">
        <v>7081605.0</v>
      </c>
      <c r="K316" s="113"/>
      <c r="L316" s="154"/>
    </row>
    <row r="317">
      <c r="A317" s="112">
        <v>4.0</v>
      </c>
      <c r="B317" s="120" t="s">
        <v>1986</v>
      </c>
      <c r="C317" s="152" t="s">
        <v>1968</v>
      </c>
      <c r="D317" s="152" t="s">
        <v>2463</v>
      </c>
      <c r="E317" s="155" t="s">
        <v>2464</v>
      </c>
      <c r="H317" s="152" t="s">
        <v>1970</v>
      </c>
      <c r="I317" s="102">
        <v>1.5965633E7</v>
      </c>
      <c r="K317" s="113"/>
      <c r="L317" s="154"/>
    </row>
    <row r="318">
      <c r="A318" s="112">
        <v>5.0</v>
      </c>
      <c r="B318" s="120" t="s">
        <v>1988</v>
      </c>
      <c r="C318" s="152" t="s">
        <v>1971</v>
      </c>
      <c r="D318" s="152" t="s">
        <v>2465</v>
      </c>
      <c r="E318" s="155" t="s">
        <v>2466</v>
      </c>
      <c r="G318" s="152">
        <v>6.990852E7</v>
      </c>
      <c r="H318" s="152" t="s">
        <v>1973</v>
      </c>
      <c r="I318" s="102">
        <v>1.2700142E7</v>
      </c>
      <c r="K318" s="113"/>
      <c r="L318" s="154"/>
    </row>
    <row r="319">
      <c r="A319" s="112" t="s">
        <v>1989</v>
      </c>
      <c r="B319" s="120" t="s">
        <v>2467</v>
      </c>
      <c r="C319" s="152" t="s">
        <v>2468</v>
      </c>
      <c r="D319" s="152" t="s">
        <v>2469</v>
      </c>
      <c r="I319" s="99"/>
      <c r="K319" s="113"/>
      <c r="L319" s="154"/>
    </row>
    <row r="320">
      <c r="A320" s="112" t="s">
        <v>1995</v>
      </c>
      <c r="B320" s="120" t="s">
        <v>2470</v>
      </c>
      <c r="C320" s="152" t="s">
        <v>2471</v>
      </c>
      <c r="D320" s="152" t="s">
        <v>2472</v>
      </c>
      <c r="I320" s="99"/>
      <c r="BC320" s="3"/>
      <c r="BD320" s="3"/>
      <c r="BE320" s="3"/>
    </row>
    <row r="321">
      <c r="A321" s="113"/>
      <c r="B321" s="296"/>
      <c r="I321" s="99"/>
      <c r="J321" s="3"/>
      <c r="K321" s="1"/>
      <c r="L321" s="345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</row>
    <row r="322">
      <c r="A322" s="113"/>
      <c r="B322" s="154"/>
      <c r="I322" s="99"/>
      <c r="K322" s="113"/>
      <c r="L322" s="154"/>
    </row>
    <row r="323">
      <c r="A323" s="113"/>
      <c r="I323" s="99"/>
      <c r="K323" s="113"/>
      <c r="L323" s="154"/>
    </row>
    <row r="324">
      <c r="A324" s="113"/>
      <c r="B324" s="154"/>
      <c r="I324" s="99"/>
      <c r="K324" s="113"/>
      <c r="L324" s="154"/>
    </row>
    <row r="325">
      <c r="A325" s="113"/>
      <c r="B325" s="154"/>
      <c r="I325" s="99"/>
      <c r="K325" s="113"/>
      <c r="L325" s="154"/>
    </row>
    <row r="326">
      <c r="A326" s="113"/>
      <c r="B326" s="154"/>
      <c r="I326" s="99"/>
      <c r="K326" s="113"/>
      <c r="L326" s="154"/>
    </row>
    <row r="327">
      <c r="A327" s="113"/>
      <c r="B327" s="154"/>
      <c r="I327" s="99"/>
      <c r="K327" s="113"/>
      <c r="L327" s="154"/>
    </row>
    <row r="328">
      <c r="A328" s="113"/>
      <c r="B328" s="154"/>
      <c r="I328" s="99"/>
      <c r="K328" s="113"/>
      <c r="L328" s="154"/>
    </row>
    <row r="329">
      <c r="A329" s="113"/>
      <c r="B329" s="154"/>
      <c r="I329" s="99"/>
      <c r="K329" s="113"/>
      <c r="L329" s="154"/>
    </row>
    <row r="330">
      <c r="A330" s="113"/>
      <c r="B330" s="154"/>
      <c r="I330" s="99"/>
      <c r="K330" s="113"/>
      <c r="L330" s="154"/>
    </row>
    <row r="331">
      <c r="A331" s="113"/>
      <c r="B331" s="154"/>
      <c r="I331" s="99"/>
      <c r="K331" s="113"/>
      <c r="L331" s="154"/>
    </row>
    <row r="332">
      <c r="A332" s="113"/>
      <c r="B332" s="154"/>
      <c r="I332" s="99"/>
      <c r="K332" s="113"/>
      <c r="L332" s="154"/>
    </row>
    <row r="333">
      <c r="A333" s="113"/>
      <c r="B333" s="154"/>
      <c r="I333" s="99"/>
      <c r="K333" s="113"/>
      <c r="L333" s="154"/>
    </row>
    <row r="334">
      <c r="A334" s="113"/>
      <c r="B334" s="154"/>
      <c r="I334" s="99"/>
      <c r="K334" s="113"/>
      <c r="L334" s="154"/>
    </row>
    <row r="335">
      <c r="A335" s="113"/>
      <c r="B335" s="154"/>
      <c r="I335" s="99"/>
      <c r="K335" s="113"/>
      <c r="L335" s="154"/>
    </row>
    <row r="336">
      <c r="A336" s="113"/>
      <c r="B336" s="154"/>
      <c r="I336" s="99"/>
      <c r="K336" s="113"/>
      <c r="L336" s="154"/>
    </row>
    <row r="337">
      <c r="A337" s="113"/>
      <c r="B337" s="154"/>
      <c r="I337" s="99"/>
      <c r="K337" s="113"/>
      <c r="L337" s="154"/>
    </row>
    <row r="338">
      <c r="A338" s="113"/>
      <c r="B338" s="154"/>
      <c r="I338" s="99"/>
      <c r="K338" s="113"/>
      <c r="L338" s="154"/>
    </row>
    <row r="339">
      <c r="A339" s="113"/>
      <c r="B339" s="154"/>
      <c r="I339" s="99"/>
      <c r="K339" s="113"/>
      <c r="L339" s="154"/>
    </row>
    <row r="340">
      <c r="A340" s="113"/>
      <c r="B340" s="154"/>
      <c r="I340" s="99"/>
      <c r="K340" s="113"/>
      <c r="L340" s="154"/>
    </row>
    <row r="341">
      <c r="A341" s="113"/>
      <c r="B341" s="154"/>
      <c r="I341" s="99"/>
      <c r="K341" s="113"/>
      <c r="L341" s="154"/>
    </row>
    <row r="342">
      <c r="A342" s="113"/>
      <c r="B342" s="154"/>
      <c r="I342" s="99"/>
      <c r="K342" s="113"/>
      <c r="L342" s="154"/>
    </row>
    <row r="343">
      <c r="A343" s="113"/>
      <c r="B343" s="154"/>
      <c r="I343" s="99"/>
      <c r="K343" s="113"/>
      <c r="L343" s="154"/>
    </row>
    <row r="344">
      <c r="A344" s="113"/>
      <c r="B344" s="154"/>
      <c r="I344" s="99"/>
      <c r="K344" s="113"/>
      <c r="L344" s="154"/>
    </row>
    <row r="345">
      <c r="A345" s="113"/>
      <c r="B345" s="154"/>
      <c r="I345" s="99"/>
      <c r="K345" s="113"/>
      <c r="L345" s="154"/>
    </row>
    <row r="346">
      <c r="A346" s="113"/>
      <c r="B346" s="154"/>
      <c r="I346" s="99"/>
      <c r="K346" s="113"/>
      <c r="L346" s="154"/>
    </row>
    <row r="347">
      <c r="A347" s="113"/>
      <c r="B347" s="154"/>
      <c r="I347" s="99"/>
      <c r="K347" s="113"/>
      <c r="L347" s="154"/>
    </row>
    <row r="348">
      <c r="A348" s="113"/>
      <c r="B348" s="154"/>
      <c r="I348" s="99"/>
      <c r="K348" s="113"/>
      <c r="L348" s="154"/>
    </row>
    <row r="349">
      <c r="A349" s="113"/>
      <c r="B349" s="154"/>
      <c r="I349" s="99"/>
      <c r="K349" s="113"/>
      <c r="L349" s="154"/>
    </row>
    <row r="350">
      <c r="A350" s="113"/>
      <c r="B350" s="154"/>
      <c r="I350" s="99"/>
      <c r="K350" s="113"/>
      <c r="L350" s="154"/>
    </row>
    <row r="351">
      <c r="A351" s="113"/>
      <c r="B351" s="154"/>
      <c r="I351" s="99"/>
      <c r="K351" s="113"/>
      <c r="L351" s="154"/>
    </row>
    <row r="352">
      <c r="A352" s="113"/>
      <c r="B352" s="154"/>
      <c r="I352" s="99"/>
      <c r="K352" s="113"/>
      <c r="L352" s="154"/>
    </row>
    <row r="353">
      <c r="A353" s="113"/>
      <c r="B353" s="154"/>
      <c r="I353" s="99"/>
      <c r="K353" s="113"/>
      <c r="L353" s="154"/>
    </row>
    <row r="354">
      <c r="A354" s="113"/>
      <c r="B354" s="154"/>
      <c r="I354" s="99"/>
      <c r="K354" s="113"/>
      <c r="L354" s="154"/>
    </row>
    <row r="355">
      <c r="A355" s="113"/>
      <c r="B355" s="154"/>
      <c r="I355" s="99"/>
      <c r="K355" s="113"/>
      <c r="L355" s="154"/>
    </row>
    <row r="356">
      <c r="A356" s="113"/>
      <c r="B356" s="154"/>
      <c r="I356" s="99"/>
      <c r="K356" s="113"/>
      <c r="L356" s="154"/>
    </row>
    <row r="357">
      <c r="A357" s="113"/>
      <c r="B357" s="154"/>
      <c r="I357" s="99"/>
      <c r="K357" s="113"/>
      <c r="L357" s="154"/>
    </row>
    <row r="358">
      <c r="A358" s="113"/>
      <c r="B358" s="154"/>
      <c r="I358" s="99"/>
      <c r="K358" s="113"/>
      <c r="L358" s="154"/>
    </row>
    <row r="359">
      <c r="A359" s="113"/>
      <c r="B359" s="154"/>
      <c r="I359" s="99"/>
      <c r="K359" s="113"/>
      <c r="L359" s="154"/>
    </row>
    <row r="360">
      <c r="A360" s="113"/>
      <c r="B360" s="154"/>
      <c r="I360" s="99"/>
      <c r="K360" s="113"/>
      <c r="L360" s="154"/>
    </row>
    <row r="361">
      <c r="A361" s="113"/>
      <c r="B361" s="154"/>
      <c r="I361" s="99"/>
      <c r="K361" s="113"/>
      <c r="L361" s="154"/>
    </row>
    <row r="362">
      <c r="A362" s="113"/>
      <c r="B362" s="154"/>
      <c r="I362" s="99"/>
      <c r="K362" s="113"/>
      <c r="L362" s="154"/>
    </row>
    <row r="363">
      <c r="A363" s="113"/>
      <c r="B363" s="154"/>
      <c r="I363" s="99"/>
      <c r="K363" s="113"/>
      <c r="L363" s="154"/>
    </row>
    <row r="364">
      <c r="A364" s="113"/>
      <c r="B364" s="154"/>
      <c r="I364" s="99"/>
      <c r="K364" s="113"/>
      <c r="L364" s="154"/>
    </row>
    <row r="365">
      <c r="A365" s="113"/>
      <c r="B365" s="154"/>
      <c r="I365" s="99"/>
      <c r="K365" s="113"/>
      <c r="L365" s="154"/>
    </row>
    <row r="366">
      <c r="A366" s="113"/>
      <c r="B366" s="154"/>
      <c r="I366" s="99"/>
      <c r="K366" s="113"/>
      <c r="L366" s="154"/>
    </row>
    <row r="367">
      <c r="A367" s="113"/>
      <c r="B367" s="154"/>
      <c r="I367" s="99"/>
      <c r="K367" s="113"/>
      <c r="L367" s="154"/>
    </row>
    <row r="368">
      <c r="A368" s="113"/>
      <c r="B368" s="154"/>
      <c r="I368" s="99"/>
      <c r="K368" s="113"/>
      <c r="L368" s="154"/>
    </row>
    <row r="369">
      <c r="A369" s="113"/>
      <c r="B369" s="154"/>
      <c r="I369" s="99"/>
      <c r="K369" s="113"/>
      <c r="L369" s="154"/>
    </row>
    <row r="370">
      <c r="A370" s="113"/>
      <c r="B370" s="154"/>
      <c r="I370" s="99"/>
      <c r="K370" s="113"/>
      <c r="L370" s="154"/>
    </row>
    <row r="371">
      <c r="A371" s="113"/>
      <c r="B371" s="154"/>
      <c r="I371" s="99"/>
      <c r="K371" s="113"/>
      <c r="L371" s="154"/>
    </row>
    <row r="372">
      <c r="A372" s="113"/>
      <c r="B372" s="154"/>
      <c r="I372" s="99"/>
      <c r="K372" s="113"/>
      <c r="L372" s="154"/>
    </row>
    <row r="373">
      <c r="A373" s="113"/>
      <c r="B373" s="154"/>
      <c r="I373" s="99"/>
      <c r="K373" s="113"/>
      <c r="L373" s="154"/>
    </row>
    <row r="374">
      <c r="A374" s="113"/>
      <c r="B374" s="154"/>
      <c r="I374" s="99"/>
      <c r="K374" s="113"/>
      <c r="L374" s="154"/>
    </row>
    <row r="375">
      <c r="A375" s="113"/>
      <c r="B375" s="154"/>
      <c r="I375" s="99"/>
      <c r="K375" s="113"/>
      <c r="L375" s="154"/>
    </row>
    <row r="376">
      <c r="A376" s="113"/>
      <c r="B376" s="154"/>
      <c r="I376" s="99"/>
      <c r="K376" s="113"/>
      <c r="L376" s="154"/>
    </row>
    <row r="377">
      <c r="A377" s="113"/>
      <c r="B377" s="154"/>
      <c r="I377" s="99"/>
      <c r="K377" s="113"/>
      <c r="L377" s="154"/>
    </row>
    <row r="378">
      <c r="A378" s="113"/>
      <c r="B378" s="154"/>
      <c r="I378" s="99"/>
      <c r="K378" s="113"/>
      <c r="L378" s="154"/>
    </row>
    <row r="379">
      <c r="A379" s="113"/>
      <c r="B379" s="154"/>
      <c r="I379" s="99"/>
      <c r="K379" s="113"/>
      <c r="L379" s="154"/>
    </row>
    <row r="380">
      <c r="A380" s="113"/>
      <c r="B380" s="154"/>
      <c r="I380" s="99"/>
      <c r="K380" s="113"/>
      <c r="L380" s="154"/>
    </row>
    <row r="381">
      <c r="A381" s="113"/>
      <c r="B381" s="154"/>
      <c r="I381" s="99"/>
      <c r="K381" s="113"/>
      <c r="L381" s="154"/>
    </row>
    <row r="382">
      <c r="A382" s="113"/>
      <c r="B382" s="154"/>
      <c r="I382" s="99"/>
      <c r="K382" s="113"/>
      <c r="L382" s="154"/>
    </row>
    <row r="383">
      <c r="A383" s="113"/>
      <c r="B383" s="154"/>
      <c r="I383" s="99"/>
      <c r="K383" s="113"/>
      <c r="L383" s="154"/>
    </row>
    <row r="384">
      <c r="A384" s="113"/>
      <c r="B384" s="154"/>
      <c r="I384" s="99"/>
      <c r="K384" s="113"/>
      <c r="L384" s="154"/>
    </row>
    <row r="385">
      <c r="A385" s="113"/>
      <c r="B385" s="154"/>
      <c r="I385" s="99"/>
      <c r="K385" s="113"/>
      <c r="L385" s="154"/>
    </row>
    <row r="386">
      <c r="A386" s="113"/>
      <c r="B386" s="154"/>
      <c r="I386" s="99"/>
      <c r="K386" s="113"/>
      <c r="L386" s="154"/>
    </row>
    <row r="387">
      <c r="A387" s="113"/>
      <c r="B387" s="154"/>
      <c r="I387" s="99"/>
      <c r="K387" s="113"/>
      <c r="L387" s="154"/>
    </row>
    <row r="388">
      <c r="A388" s="113"/>
      <c r="B388" s="154"/>
      <c r="I388" s="99"/>
      <c r="K388" s="113"/>
      <c r="L388" s="154"/>
    </row>
    <row r="389">
      <c r="A389" s="113"/>
      <c r="B389" s="154"/>
      <c r="I389" s="99"/>
      <c r="K389" s="113"/>
      <c r="L389" s="154"/>
    </row>
    <row r="390">
      <c r="A390" s="113"/>
      <c r="B390" s="154"/>
      <c r="I390" s="99"/>
      <c r="K390" s="113"/>
      <c r="L390" s="154"/>
    </row>
    <row r="391">
      <c r="A391" s="113"/>
      <c r="B391" s="154"/>
      <c r="I391" s="99"/>
      <c r="K391" s="113"/>
      <c r="L391" s="154"/>
    </row>
    <row r="392">
      <c r="A392" s="113"/>
      <c r="B392" s="154"/>
      <c r="I392" s="99"/>
      <c r="K392" s="113"/>
      <c r="L392" s="154"/>
    </row>
    <row r="393">
      <c r="A393" s="113"/>
      <c r="B393" s="154"/>
      <c r="I393" s="99"/>
      <c r="K393" s="113"/>
      <c r="L393" s="154"/>
    </row>
    <row r="394">
      <c r="A394" s="113"/>
      <c r="B394" s="154"/>
      <c r="I394" s="99"/>
      <c r="K394" s="113"/>
      <c r="L394" s="154"/>
    </row>
    <row r="395">
      <c r="A395" s="113"/>
      <c r="B395" s="154"/>
      <c r="I395" s="99"/>
      <c r="K395" s="113"/>
      <c r="L395" s="154"/>
    </row>
    <row r="396">
      <c r="A396" s="113"/>
      <c r="B396" s="154"/>
      <c r="I396" s="99"/>
      <c r="K396" s="113"/>
      <c r="L396" s="154"/>
    </row>
    <row r="397">
      <c r="A397" s="113"/>
      <c r="B397" s="154"/>
      <c r="I397" s="99"/>
      <c r="K397" s="113"/>
      <c r="L397" s="154"/>
    </row>
    <row r="398">
      <c r="A398" s="113"/>
      <c r="B398" s="154"/>
      <c r="I398" s="99"/>
      <c r="K398" s="113"/>
      <c r="L398" s="154"/>
    </row>
    <row r="399">
      <c r="A399" s="113"/>
      <c r="B399" s="154"/>
      <c r="I399" s="99"/>
      <c r="K399" s="113"/>
      <c r="L399" s="154"/>
    </row>
    <row r="400">
      <c r="A400" s="113"/>
      <c r="B400" s="154"/>
      <c r="I400" s="99"/>
      <c r="K400" s="113"/>
      <c r="L400" s="154"/>
    </row>
    <row r="401">
      <c r="A401" s="113"/>
      <c r="B401" s="154"/>
      <c r="I401" s="99"/>
      <c r="K401" s="113"/>
      <c r="L401" s="154"/>
    </row>
    <row r="402">
      <c r="A402" s="113"/>
      <c r="B402" s="154"/>
      <c r="I402" s="99"/>
      <c r="K402" s="113"/>
      <c r="L402" s="154"/>
    </row>
    <row r="403">
      <c r="A403" s="113"/>
      <c r="B403" s="154"/>
      <c r="I403" s="99"/>
      <c r="K403" s="113"/>
      <c r="L403" s="154"/>
    </row>
    <row r="404">
      <c r="A404" s="113"/>
      <c r="B404" s="154"/>
      <c r="I404" s="99"/>
      <c r="K404" s="113"/>
      <c r="L404" s="154"/>
    </row>
    <row r="405">
      <c r="A405" s="113"/>
      <c r="B405" s="154"/>
      <c r="I405" s="99"/>
      <c r="K405" s="113"/>
      <c r="L405" s="154"/>
    </row>
    <row r="406">
      <c r="A406" s="113"/>
      <c r="B406" s="154"/>
      <c r="I406" s="99"/>
      <c r="K406" s="113"/>
      <c r="L406" s="154"/>
    </row>
    <row r="407">
      <c r="A407" s="113"/>
      <c r="B407" s="154"/>
      <c r="I407" s="99"/>
      <c r="K407" s="113"/>
      <c r="L407" s="154"/>
    </row>
    <row r="408">
      <c r="A408" s="113"/>
      <c r="B408" s="154"/>
      <c r="I408" s="99"/>
      <c r="K408" s="113"/>
      <c r="L408" s="154"/>
    </row>
    <row r="409">
      <c r="A409" s="113"/>
      <c r="B409" s="154"/>
      <c r="I409" s="99"/>
      <c r="K409" s="113"/>
      <c r="L409" s="154"/>
    </row>
    <row r="410">
      <c r="A410" s="113"/>
      <c r="B410" s="154"/>
      <c r="I410" s="99"/>
      <c r="K410" s="113"/>
      <c r="L410" s="154"/>
    </row>
    <row r="411">
      <c r="A411" s="113"/>
      <c r="B411" s="154"/>
      <c r="I411" s="99"/>
      <c r="K411" s="113"/>
      <c r="L411" s="154"/>
    </row>
    <row r="412">
      <c r="A412" s="113"/>
      <c r="B412" s="154"/>
      <c r="I412" s="99"/>
      <c r="K412" s="113"/>
      <c r="L412" s="154"/>
    </row>
    <row r="413">
      <c r="A413" s="113"/>
      <c r="B413" s="154"/>
      <c r="I413" s="99"/>
      <c r="K413" s="113"/>
      <c r="L413" s="154"/>
    </row>
    <row r="414">
      <c r="A414" s="113"/>
      <c r="B414" s="154"/>
      <c r="I414" s="99"/>
      <c r="K414" s="113"/>
      <c r="L414" s="154"/>
    </row>
    <row r="415">
      <c r="A415" s="113"/>
      <c r="B415" s="154"/>
      <c r="I415" s="99"/>
      <c r="K415" s="113"/>
      <c r="L415" s="154"/>
    </row>
    <row r="416">
      <c r="A416" s="113"/>
      <c r="B416" s="154"/>
      <c r="I416" s="99"/>
      <c r="K416" s="113"/>
      <c r="L416" s="154"/>
    </row>
    <row r="417">
      <c r="A417" s="113"/>
      <c r="B417" s="154"/>
      <c r="I417" s="99"/>
      <c r="K417" s="113"/>
      <c r="L417" s="154"/>
    </row>
    <row r="418">
      <c r="A418" s="113"/>
      <c r="B418" s="154"/>
      <c r="I418" s="99"/>
      <c r="K418" s="113"/>
      <c r="L418" s="154"/>
    </row>
    <row r="419">
      <c r="A419" s="113"/>
      <c r="B419" s="154"/>
      <c r="I419" s="99"/>
      <c r="K419" s="113"/>
      <c r="L419" s="154"/>
    </row>
    <row r="420">
      <c r="A420" s="113"/>
      <c r="B420" s="154"/>
      <c r="I420" s="99"/>
      <c r="K420" s="113"/>
      <c r="L420" s="154"/>
    </row>
    <row r="421">
      <c r="A421" s="113"/>
      <c r="B421" s="154"/>
      <c r="I421" s="99"/>
      <c r="K421" s="113"/>
      <c r="L421" s="154"/>
    </row>
    <row r="422">
      <c r="A422" s="113"/>
      <c r="B422" s="154"/>
      <c r="I422" s="99"/>
      <c r="K422" s="113"/>
      <c r="L422" s="154"/>
    </row>
    <row r="423">
      <c r="A423" s="113"/>
      <c r="B423" s="154"/>
      <c r="I423" s="99"/>
      <c r="K423" s="113"/>
      <c r="L423" s="154"/>
    </row>
    <row r="424">
      <c r="A424" s="113"/>
      <c r="B424" s="154"/>
      <c r="I424" s="99"/>
      <c r="K424" s="113"/>
      <c r="L424" s="154"/>
    </row>
    <row r="425">
      <c r="A425" s="113"/>
      <c r="B425" s="154"/>
      <c r="I425" s="99"/>
      <c r="K425" s="113"/>
      <c r="L425" s="154"/>
    </row>
    <row r="426">
      <c r="A426" s="113"/>
      <c r="B426" s="154"/>
      <c r="I426" s="99"/>
      <c r="K426" s="113"/>
      <c r="L426" s="154"/>
    </row>
    <row r="427">
      <c r="A427" s="113"/>
      <c r="B427" s="154"/>
      <c r="I427" s="99"/>
      <c r="K427" s="113"/>
      <c r="L427" s="154"/>
    </row>
    <row r="428">
      <c r="A428" s="113"/>
      <c r="B428" s="154"/>
      <c r="I428" s="99"/>
      <c r="K428" s="113"/>
      <c r="L428" s="154"/>
    </row>
    <row r="429">
      <c r="A429" s="113"/>
      <c r="B429" s="154"/>
      <c r="I429" s="99"/>
      <c r="K429" s="113"/>
      <c r="L429" s="154"/>
    </row>
    <row r="430">
      <c r="A430" s="113"/>
      <c r="B430" s="154"/>
      <c r="I430" s="99"/>
      <c r="K430" s="113"/>
      <c r="L430" s="154"/>
    </row>
    <row r="431">
      <c r="A431" s="113"/>
      <c r="B431" s="154"/>
      <c r="I431" s="99"/>
      <c r="K431" s="113"/>
      <c r="L431" s="154"/>
    </row>
    <row r="432">
      <c r="A432" s="113"/>
      <c r="B432" s="154"/>
      <c r="I432" s="99"/>
      <c r="K432" s="113"/>
      <c r="L432" s="154"/>
    </row>
    <row r="433">
      <c r="A433" s="113"/>
      <c r="B433" s="154"/>
      <c r="I433" s="99"/>
      <c r="K433" s="113"/>
      <c r="L433" s="154"/>
    </row>
    <row r="434">
      <c r="A434" s="113"/>
      <c r="B434" s="154"/>
      <c r="I434" s="99"/>
      <c r="K434" s="113"/>
      <c r="L434" s="154"/>
    </row>
    <row r="435">
      <c r="A435" s="113"/>
      <c r="B435" s="154"/>
      <c r="I435" s="99"/>
      <c r="K435" s="113"/>
      <c r="L435" s="154"/>
    </row>
    <row r="436">
      <c r="A436" s="113"/>
      <c r="B436" s="154"/>
      <c r="I436" s="99"/>
      <c r="K436" s="113"/>
      <c r="L436" s="154"/>
    </row>
    <row r="437">
      <c r="A437" s="113"/>
      <c r="B437" s="154"/>
      <c r="I437" s="99"/>
      <c r="K437" s="113"/>
      <c r="L437" s="154"/>
    </row>
    <row r="438">
      <c r="A438" s="113"/>
      <c r="B438" s="154"/>
      <c r="I438" s="99"/>
      <c r="K438" s="113"/>
      <c r="L438" s="154"/>
    </row>
    <row r="439">
      <c r="A439" s="113"/>
      <c r="B439" s="154"/>
      <c r="I439" s="99"/>
      <c r="K439" s="113"/>
      <c r="L439" s="154"/>
    </row>
    <row r="440">
      <c r="A440" s="113"/>
      <c r="B440" s="154"/>
      <c r="I440" s="99"/>
      <c r="K440" s="113"/>
      <c r="L440" s="154"/>
    </row>
    <row r="441">
      <c r="A441" s="113"/>
      <c r="B441" s="154"/>
      <c r="I441" s="99"/>
      <c r="K441" s="113"/>
      <c r="L441" s="154"/>
    </row>
    <row r="442">
      <c r="A442" s="113"/>
      <c r="B442" s="154"/>
      <c r="I442" s="99"/>
      <c r="K442" s="113"/>
      <c r="L442" s="154"/>
    </row>
    <row r="443">
      <c r="A443" s="113"/>
      <c r="B443" s="154"/>
      <c r="I443" s="99"/>
      <c r="K443" s="113"/>
      <c r="L443" s="154"/>
    </row>
    <row r="444">
      <c r="A444" s="113"/>
      <c r="B444" s="154"/>
      <c r="I444" s="99"/>
      <c r="K444" s="113"/>
      <c r="L444" s="154"/>
    </row>
    <row r="445">
      <c r="A445" s="113"/>
      <c r="B445" s="154"/>
      <c r="I445" s="99"/>
      <c r="K445" s="113"/>
      <c r="L445" s="154"/>
    </row>
    <row r="446">
      <c r="A446" s="113"/>
      <c r="B446" s="154"/>
      <c r="I446" s="99"/>
      <c r="K446" s="113"/>
      <c r="L446" s="154"/>
    </row>
    <row r="447">
      <c r="A447" s="113"/>
      <c r="B447" s="154"/>
      <c r="I447" s="99"/>
      <c r="K447" s="113"/>
      <c r="L447" s="154"/>
    </row>
    <row r="448">
      <c r="A448" s="113"/>
      <c r="B448" s="154"/>
      <c r="I448" s="99"/>
      <c r="K448" s="113"/>
      <c r="L448" s="154"/>
    </row>
    <row r="449">
      <c r="A449" s="113"/>
      <c r="B449" s="154"/>
      <c r="I449" s="99"/>
      <c r="K449" s="113"/>
      <c r="L449" s="154"/>
    </row>
    <row r="450">
      <c r="A450" s="113"/>
      <c r="B450" s="154"/>
      <c r="I450" s="99"/>
      <c r="K450" s="113"/>
      <c r="L450" s="154"/>
    </row>
    <row r="451">
      <c r="A451" s="113"/>
      <c r="B451" s="154"/>
      <c r="I451" s="99"/>
      <c r="K451" s="113"/>
      <c r="L451" s="154"/>
    </row>
    <row r="452">
      <c r="A452" s="113"/>
      <c r="B452" s="154"/>
      <c r="I452" s="99"/>
      <c r="K452" s="113"/>
      <c r="L452" s="154"/>
    </row>
    <row r="453">
      <c r="A453" s="113"/>
      <c r="B453" s="154"/>
      <c r="I453" s="99"/>
      <c r="K453" s="113"/>
      <c r="L453" s="154"/>
    </row>
    <row r="454">
      <c r="A454" s="113"/>
      <c r="B454" s="154"/>
      <c r="I454" s="99"/>
      <c r="K454" s="113"/>
      <c r="L454" s="154"/>
    </row>
    <row r="455">
      <c r="A455" s="113"/>
      <c r="B455" s="154"/>
      <c r="I455" s="99"/>
      <c r="K455" s="113"/>
      <c r="L455" s="154"/>
    </row>
    <row r="456">
      <c r="A456" s="113"/>
      <c r="B456" s="154"/>
      <c r="I456" s="99"/>
      <c r="K456" s="113"/>
      <c r="L456" s="154"/>
    </row>
    <row r="457">
      <c r="A457" s="113"/>
      <c r="B457" s="154"/>
      <c r="I457" s="99"/>
      <c r="K457" s="113"/>
      <c r="L457" s="154"/>
    </row>
    <row r="458">
      <c r="A458" s="113"/>
      <c r="B458" s="154"/>
      <c r="I458" s="99"/>
      <c r="K458" s="113"/>
      <c r="L458" s="154"/>
    </row>
    <row r="459">
      <c r="A459" s="113"/>
      <c r="B459" s="154"/>
      <c r="I459" s="99"/>
      <c r="K459" s="113"/>
      <c r="L459" s="154"/>
    </row>
    <row r="460">
      <c r="A460" s="113"/>
      <c r="B460" s="154"/>
      <c r="I460" s="99"/>
      <c r="K460" s="113"/>
      <c r="L460" s="154"/>
    </row>
    <row r="461">
      <c r="A461" s="113"/>
      <c r="B461" s="154"/>
      <c r="I461" s="99"/>
      <c r="K461" s="113"/>
      <c r="L461" s="154"/>
    </row>
    <row r="462">
      <c r="A462" s="113"/>
      <c r="B462" s="154"/>
      <c r="I462" s="99"/>
      <c r="K462" s="113"/>
      <c r="L462" s="154"/>
    </row>
    <row r="463">
      <c r="A463" s="113"/>
      <c r="B463" s="154"/>
      <c r="I463" s="99"/>
      <c r="K463" s="113"/>
      <c r="L463" s="154"/>
    </row>
    <row r="464">
      <c r="A464" s="113"/>
      <c r="B464" s="154"/>
      <c r="I464" s="99"/>
      <c r="K464" s="113"/>
      <c r="L464" s="154"/>
    </row>
    <row r="465">
      <c r="A465" s="113"/>
      <c r="B465" s="154"/>
      <c r="I465" s="99"/>
      <c r="K465" s="113"/>
      <c r="L465" s="154"/>
    </row>
    <row r="466">
      <c r="A466" s="113"/>
      <c r="B466" s="154"/>
      <c r="I466" s="99"/>
      <c r="K466" s="113"/>
      <c r="L466" s="154"/>
    </row>
    <row r="467">
      <c r="A467" s="113"/>
      <c r="B467" s="154"/>
      <c r="I467" s="99"/>
      <c r="K467" s="113"/>
      <c r="L467" s="154"/>
    </row>
    <row r="468">
      <c r="A468" s="113"/>
      <c r="B468" s="154"/>
      <c r="I468" s="99"/>
      <c r="K468" s="113"/>
      <c r="L468" s="154"/>
    </row>
    <row r="469">
      <c r="A469" s="113"/>
      <c r="B469" s="154"/>
      <c r="I469" s="99"/>
      <c r="K469" s="113"/>
      <c r="L469" s="154"/>
    </row>
    <row r="470">
      <c r="A470" s="113"/>
      <c r="B470" s="154"/>
      <c r="I470" s="99"/>
      <c r="K470" s="113"/>
      <c r="L470" s="154"/>
    </row>
    <row r="471">
      <c r="A471" s="113"/>
      <c r="B471" s="154"/>
      <c r="I471" s="99"/>
      <c r="K471" s="113"/>
      <c r="L471" s="154"/>
    </row>
    <row r="472">
      <c r="A472" s="113"/>
      <c r="B472" s="154"/>
      <c r="I472" s="99"/>
      <c r="K472" s="113"/>
      <c r="L472" s="154"/>
    </row>
    <row r="473">
      <c r="A473" s="113"/>
      <c r="B473" s="154"/>
      <c r="I473" s="99"/>
      <c r="K473" s="113"/>
      <c r="L473" s="154"/>
    </row>
    <row r="474">
      <c r="A474" s="113"/>
      <c r="B474" s="154"/>
      <c r="I474" s="99"/>
      <c r="K474" s="113"/>
      <c r="L474" s="154"/>
    </row>
    <row r="475">
      <c r="A475" s="113"/>
      <c r="B475" s="154"/>
      <c r="I475" s="99"/>
      <c r="K475" s="113"/>
      <c r="L475" s="154"/>
    </row>
    <row r="476">
      <c r="A476" s="113"/>
      <c r="B476" s="154"/>
      <c r="I476" s="99"/>
      <c r="K476" s="113"/>
      <c r="L476" s="154"/>
    </row>
    <row r="477">
      <c r="A477" s="113"/>
      <c r="B477" s="154"/>
      <c r="I477" s="99"/>
      <c r="K477" s="113"/>
      <c r="L477" s="154"/>
    </row>
    <row r="478">
      <c r="A478" s="113"/>
      <c r="B478" s="154"/>
      <c r="I478" s="99"/>
      <c r="K478" s="113"/>
      <c r="L478" s="154"/>
    </row>
    <row r="479">
      <c r="A479" s="113"/>
      <c r="B479" s="154"/>
      <c r="I479" s="99"/>
      <c r="K479" s="113"/>
      <c r="L479" s="154"/>
    </row>
    <row r="480">
      <c r="A480" s="113"/>
      <c r="B480" s="154"/>
      <c r="I480" s="99"/>
      <c r="K480" s="113"/>
      <c r="L480" s="154"/>
    </row>
    <row r="481">
      <c r="A481" s="113"/>
      <c r="B481" s="154"/>
      <c r="I481" s="99"/>
      <c r="K481" s="113"/>
      <c r="L481" s="154"/>
    </row>
    <row r="482">
      <c r="A482" s="113"/>
      <c r="B482" s="154"/>
      <c r="I482" s="99"/>
      <c r="K482" s="113"/>
      <c r="L482" s="154"/>
    </row>
    <row r="483">
      <c r="A483" s="113"/>
      <c r="B483" s="154"/>
      <c r="I483" s="99"/>
      <c r="K483" s="113"/>
      <c r="L483" s="154"/>
    </row>
    <row r="484">
      <c r="A484" s="113"/>
      <c r="B484" s="154"/>
      <c r="I484" s="99"/>
      <c r="K484" s="113"/>
      <c r="L484" s="154"/>
    </row>
    <row r="485">
      <c r="A485" s="113"/>
      <c r="B485" s="154"/>
      <c r="I485" s="99"/>
      <c r="K485" s="113"/>
      <c r="L485" s="154"/>
    </row>
    <row r="486">
      <c r="A486" s="113"/>
      <c r="B486" s="154"/>
      <c r="I486" s="99"/>
      <c r="K486" s="113"/>
      <c r="L486" s="154"/>
    </row>
    <row r="487">
      <c r="A487" s="113"/>
      <c r="B487" s="154"/>
      <c r="I487" s="99"/>
      <c r="K487" s="113"/>
      <c r="L487" s="154"/>
    </row>
    <row r="488">
      <c r="A488" s="113"/>
      <c r="B488" s="154"/>
      <c r="I488" s="99"/>
      <c r="K488" s="113"/>
      <c r="L488" s="154"/>
    </row>
    <row r="489">
      <c r="A489" s="113"/>
      <c r="B489" s="154"/>
      <c r="I489" s="99"/>
      <c r="K489" s="113"/>
      <c r="L489" s="154"/>
    </row>
    <row r="490">
      <c r="A490" s="113"/>
      <c r="B490" s="154"/>
      <c r="I490" s="99"/>
      <c r="K490" s="113"/>
      <c r="L490" s="154"/>
    </row>
    <row r="491">
      <c r="A491" s="113"/>
      <c r="B491" s="154"/>
      <c r="I491" s="99"/>
      <c r="K491" s="113"/>
      <c r="L491" s="154"/>
    </row>
    <row r="492">
      <c r="A492" s="113"/>
      <c r="B492" s="154"/>
      <c r="I492" s="99"/>
      <c r="K492" s="113"/>
      <c r="L492" s="154"/>
    </row>
    <row r="493">
      <c r="A493" s="113"/>
      <c r="B493" s="154"/>
      <c r="I493" s="99"/>
      <c r="K493" s="113"/>
      <c r="L493" s="154"/>
    </row>
    <row r="494">
      <c r="A494" s="113"/>
      <c r="B494" s="154"/>
      <c r="I494" s="99"/>
      <c r="K494" s="113"/>
      <c r="L494" s="154"/>
    </row>
    <row r="495">
      <c r="A495" s="113"/>
      <c r="B495" s="154"/>
      <c r="I495" s="99"/>
      <c r="K495" s="113"/>
      <c r="L495" s="154"/>
    </row>
    <row r="496">
      <c r="A496" s="113"/>
      <c r="B496" s="154"/>
      <c r="I496" s="99"/>
      <c r="K496" s="113"/>
      <c r="L496" s="154"/>
    </row>
    <row r="497">
      <c r="A497" s="113"/>
      <c r="B497" s="154"/>
      <c r="I497" s="99"/>
      <c r="K497" s="113"/>
      <c r="L497" s="154"/>
    </row>
    <row r="498">
      <c r="A498" s="113"/>
      <c r="B498" s="154"/>
      <c r="I498" s="99"/>
      <c r="K498" s="113"/>
      <c r="L498" s="154"/>
    </row>
    <row r="499">
      <c r="A499" s="113"/>
      <c r="B499" s="154"/>
      <c r="I499" s="99"/>
      <c r="K499" s="113"/>
      <c r="L499" s="154"/>
    </row>
    <row r="500">
      <c r="A500" s="113"/>
      <c r="B500" s="154"/>
      <c r="I500" s="99"/>
      <c r="K500" s="113"/>
      <c r="L500" s="154"/>
    </row>
    <row r="501">
      <c r="A501" s="113"/>
      <c r="B501" s="154"/>
      <c r="I501" s="99"/>
      <c r="K501" s="113"/>
      <c r="L501" s="154"/>
    </row>
    <row r="502">
      <c r="A502" s="113"/>
      <c r="B502" s="154"/>
      <c r="I502" s="99"/>
      <c r="K502" s="113"/>
      <c r="L502" s="154"/>
    </row>
    <row r="503">
      <c r="A503" s="113"/>
      <c r="B503" s="154"/>
      <c r="I503" s="99"/>
      <c r="K503" s="113"/>
      <c r="L503" s="154"/>
    </row>
    <row r="504">
      <c r="A504" s="113"/>
      <c r="B504" s="154"/>
      <c r="I504" s="99"/>
      <c r="K504" s="113"/>
      <c r="L504" s="154"/>
    </row>
    <row r="505">
      <c r="A505" s="113"/>
      <c r="B505" s="154"/>
      <c r="I505" s="99"/>
      <c r="K505" s="113"/>
      <c r="L505" s="154"/>
    </row>
    <row r="506">
      <c r="A506" s="113"/>
      <c r="B506" s="154"/>
      <c r="I506" s="99"/>
      <c r="K506" s="113"/>
      <c r="L506" s="154"/>
    </row>
    <row r="507">
      <c r="A507" s="113"/>
      <c r="B507" s="154"/>
      <c r="I507" s="99"/>
      <c r="K507" s="113"/>
      <c r="L507" s="154"/>
    </row>
    <row r="508">
      <c r="A508" s="113"/>
      <c r="B508" s="154"/>
      <c r="I508" s="99"/>
      <c r="K508" s="113"/>
      <c r="L508" s="154"/>
    </row>
    <row r="509">
      <c r="A509" s="113"/>
      <c r="B509" s="154"/>
      <c r="I509" s="99"/>
      <c r="K509" s="113"/>
      <c r="L509" s="154"/>
    </row>
    <row r="510">
      <c r="A510" s="113"/>
      <c r="B510" s="154"/>
      <c r="I510" s="99"/>
      <c r="K510" s="113"/>
      <c r="L510" s="154"/>
    </row>
    <row r="511">
      <c r="A511" s="113"/>
      <c r="B511" s="154"/>
      <c r="I511" s="99"/>
      <c r="K511" s="113"/>
      <c r="L511" s="154"/>
    </row>
    <row r="512">
      <c r="A512" s="113"/>
      <c r="B512" s="154"/>
      <c r="I512" s="99"/>
      <c r="K512" s="113"/>
      <c r="L512" s="154"/>
    </row>
    <row r="513">
      <c r="A513" s="113"/>
      <c r="B513" s="154"/>
      <c r="I513" s="99"/>
      <c r="K513" s="113"/>
      <c r="L513" s="154"/>
    </row>
    <row r="514">
      <c r="A514" s="113"/>
      <c r="B514" s="154"/>
      <c r="I514" s="99"/>
      <c r="K514" s="113"/>
      <c r="L514" s="154"/>
    </row>
    <row r="515">
      <c r="A515" s="113"/>
      <c r="B515" s="154"/>
      <c r="I515" s="99"/>
      <c r="K515" s="113"/>
      <c r="L515" s="154"/>
    </row>
    <row r="516">
      <c r="A516" s="113"/>
      <c r="B516" s="154"/>
      <c r="I516" s="99"/>
      <c r="K516" s="113"/>
      <c r="L516" s="154"/>
    </row>
    <row r="517">
      <c r="A517" s="113"/>
      <c r="B517" s="154"/>
      <c r="I517" s="99"/>
      <c r="K517" s="113"/>
      <c r="L517" s="154"/>
    </row>
    <row r="518">
      <c r="A518" s="113"/>
      <c r="B518" s="154"/>
      <c r="I518" s="99"/>
      <c r="K518" s="113"/>
      <c r="L518" s="154"/>
    </row>
    <row r="519">
      <c r="A519" s="113"/>
      <c r="B519" s="154"/>
      <c r="I519" s="99"/>
      <c r="K519" s="113"/>
      <c r="L519" s="154"/>
    </row>
    <row r="520">
      <c r="A520" s="113"/>
      <c r="B520" s="154"/>
      <c r="I520" s="99"/>
      <c r="K520" s="113"/>
      <c r="L520" s="154"/>
    </row>
    <row r="521">
      <c r="A521" s="113"/>
      <c r="B521" s="154"/>
      <c r="I521" s="99"/>
      <c r="K521" s="113"/>
      <c r="L521" s="154"/>
    </row>
    <row r="522">
      <c r="A522" s="113"/>
      <c r="B522" s="154"/>
      <c r="I522" s="99"/>
      <c r="K522" s="113"/>
      <c r="L522" s="154"/>
    </row>
    <row r="523">
      <c r="A523" s="113"/>
      <c r="B523" s="154"/>
      <c r="I523" s="99"/>
      <c r="K523" s="113"/>
      <c r="L523" s="154"/>
    </row>
    <row r="524">
      <c r="A524" s="113"/>
      <c r="B524" s="154"/>
      <c r="I524" s="99"/>
      <c r="K524" s="113"/>
      <c r="L524" s="154"/>
    </row>
    <row r="525">
      <c r="A525" s="113"/>
      <c r="B525" s="154"/>
      <c r="I525" s="99"/>
      <c r="K525" s="113"/>
      <c r="L525" s="154"/>
    </row>
    <row r="526">
      <c r="A526" s="113"/>
      <c r="B526" s="154"/>
      <c r="I526" s="99"/>
      <c r="K526" s="113"/>
      <c r="L526" s="154"/>
    </row>
    <row r="527">
      <c r="A527" s="113"/>
      <c r="B527" s="154"/>
      <c r="I527" s="99"/>
      <c r="K527" s="113"/>
      <c r="L527" s="154"/>
    </row>
    <row r="528">
      <c r="A528" s="113"/>
      <c r="B528" s="154"/>
      <c r="I528" s="99"/>
      <c r="K528" s="113"/>
      <c r="L528" s="154"/>
    </row>
    <row r="529">
      <c r="A529" s="113"/>
      <c r="B529" s="154"/>
      <c r="I529" s="99"/>
      <c r="K529" s="113"/>
      <c r="L529" s="154"/>
    </row>
    <row r="530">
      <c r="A530" s="113"/>
      <c r="B530" s="154"/>
      <c r="I530" s="99"/>
      <c r="K530" s="113"/>
      <c r="L530" s="154"/>
    </row>
    <row r="531">
      <c r="A531" s="113"/>
      <c r="B531" s="154"/>
      <c r="I531" s="99"/>
      <c r="K531" s="113"/>
      <c r="L531" s="154"/>
    </row>
    <row r="532">
      <c r="A532" s="113"/>
      <c r="B532" s="154"/>
      <c r="I532" s="99"/>
      <c r="K532" s="113"/>
      <c r="L532" s="154"/>
    </row>
    <row r="533">
      <c r="A533" s="113"/>
      <c r="B533" s="154"/>
      <c r="I533" s="99"/>
      <c r="K533" s="113"/>
      <c r="L533" s="154"/>
    </row>
    <row r="534">
      <c r="A534" s="113"/>
      <c r="B534" s="154"/>
      <c r="I534" s="99"/>
      <c r="K534" s="113"/>
      <c r="L534" s="154"/>
    </row>
    <row r="535">
      <c r="A535" s="113"/>
      <c r="B535" s="154"/>
      <c r="I535" s="99"/>
      <c r="K535" s="113"/>
      <c r="L535" s="154"/>
    </row>
    <row r="536">
      <c r="A536" s="113"/>
      <c r="B536" s="154"/>
      <c r="I536" s="99"/>
      <c r="K536" s="113"/>
      <c r="L536" s="154"/>
    </row>
    <row r="537">
      <c r="A537" s="113"/>
      <c r="B537" s="154"/>
      <c r="I537" s="99"/>
      <c r="K537" s="113"/>
      <c r="L537" s="154"/>
    </row>
    <row r="538">
      <c r="A538" s="113"/>
      <c r="B538" s="154"/>
      <c r="I538" s="99"/>
      <c r="K538" s="113"/>
      <c r="L538" s="154"/>
    </row>
    <row r="539">
      <c r="A539" s="113"/>
      <c r="B539" s="154"/>
      <c r="I539" s="99"/>
      <c r="K539" s="113"/>
      <c r="L539" s="154"/>
    </row>
    <row r="540">
      <c r="A540" s="113"/>
      <c r="B540" s="154"/>
      <c r="I540" s="99"/>
      <c r="K540" s="113"/>
      <c r="L540" s="154"/>
    </row>
    <row r="541">
      <c r="A541" s="113"/>
      <c r="B541" s="154"/>
      <c r="I541" s="99"/>
      <c r="K541" s="113"/>
      <c r="L541" s="154"/>
    </row>
    <row r="542">
      <c r="A542" s="113"/>
      <c r="B542" s="154"/>
      <c r="I542" s="99"/>
      <c r="K542" s="113"/>
      <c r="L542" s="154"/>
    </row>
    <row r="543">
      <c r="A543" s="113"/>
      <c r="B543" s="154"/>
      <c r="I543" s="99"/>
      <c r="K543" s="113"/>
      <c r="L543" s="154"/>
    </row>
    <row r="544">
      <c r="A544" s="113"/>
      <c r="B544" s="154"/>
      <c r="I544" s="99"/>
      <c r="K544" s="113"/>
      <c r="L544" s="154"/>
    </row>
    <row r="545">
      <c r="A545" s="113"/>
      <c r="B545" s="154"/>
      <c r="I545" s="99"/>
      <c r="K545" s="113"/>
      <c r="L545" s="154"/>
    </row>
    <row r="546">
      <c r="A546" s="113"/>
      <c r="B546" s="154"/>
      <c r="I546" s="99"/>
      <c r="K546" s="113"/>
      <c r="L546" s="154"/>
    </row>
    <row r="547">
      <c r="A547" s="113"/>
      <c r="B547" s="154"/>
      <c r="I547" s="99"/>
      <c r="K547" s="113"/>
      <c r="L547" s="154"/>
    </row>
    <row r="548">
      <c r="A548" s="113"/>
      <c r="B548" s="154"/>
      <c r="I548" s="99"/>
      <c r="K548" s="113"/>
      <c r="L548" s="154"/>
    </row>
    <row r="549">
      <c r="A549" s="113"/>
      <c r="B549" s="154"/>
      <c r="I549" s="99"/>
      <c r="K549" s="113"/>
      <c r="L549" s="154"/>
    </row>
    <row r="550">
      <c r="A550" s="113"/>
      <c r="B550" s="154"/>
      <c r="I550" s="99"/>
      <c r="K550" s="113"/>
      <c r="L550" s="154"/>
    </row>
    <row r="551">
      <c r="A551" s="113"/>
      <c r="B551" s="154"/>
      <c r="I551" s="99"/>
      <c r="K551" s="113"/>
      <c r="L551" s="154"/>
    </row>
    <row r="552">
      <c r="A552" s="113"/>
      <c r="B552" s="154"/>
      <c r="I552" s="99"/>
      <c r="K552" s="113"/>
      <c r="L552" s="154"/>
    </row>
    <row r="553">
      <c r="A553" s="113"/>
      <c r="B553" s="154"/>
      <c r="I553" s="99"/>
      <c r="K553" s="113"/>
      <c r="L553" s="154"/>
    </row>
    <row r="554">
      <c r="A554" s="113"/>
      <c r="B554" s="154"/>
      <c r="I554" s="99"/>
      <c r="K554" s="113"/>
      <c r="L554" s="154"/>
    </row>
    <row r="555">
      <c r="A555" s="113"/>
      <c r="B555" s="154"/>
      <c r="I555" s="99"/>
      <c r="K555" s="113"/>
      <c r="L555" s="154"/>
    </row>
    <row r="556">
      <c r="A556" s="113"/>
      <c r="B556" s="154"/>
      <c r="I556" s="99"/>
      <c r="K556" s="113"/>
      <c r="L556" s="154"/>
    </row>
    <row r="557">
      <c r="A557" s="113"/>
      <c r="B557" s="154"/>
      <c r="I557" s="99"/>
      <c r="K557" s="113"/>
      <c r="L557" s="154"/>
    </row>
    <row r="558">
      <c r="A558" s="113"/>
      <c r="B558" s="154"/>
      <c r="I558" s="99"/>
      <c r="K558" s="113"/>
      <c r="L558" s="154"/>
    </row>
    <row r="559">
      <c r="A559" s="113"/>
      <c r="B559" s="154"/>
      <c r="I559" s="99"/>
      <c r="K559" s="113"/>
      <c r="L559" s="154"/>
    </row>
    <row r="560">
      <c r="A560" s="113"/>
      <c r="B560" s="154"/>
      <c r="I560" s="99"/>
      <c r="K560" s="113"/>
      <c r="L560" s="154"/>
    </row>
    <row r="561">
      <c r="A561" s="113"/>
      <c r="B561" s="154"/>
      <c r="I561" s="99"/>
      <c r="K561" s="113"/>
      <c r="L561" s="154"/>
    </row>
    <row r="562">
      <c r="A562" s="113"/>
      <c r="B562" s="154"/>
      <c r="I562" s="99"/>
      <c r="K562" s="113"/>
      <c r="L562" s="154"/>
    </row>
    <row r="563">
      <c r="A563" s="113"/>
      <c r="B563" s="154"/>
      <c r="I563" s="99"/>
      <c r="K563" s="113"/>
      <c r="L563" s="154"/>
    </row>
    <row r="564">
      <c r="A564" s="113"/>
      <c r="B564" s="154"/>
      <c r="I564" s="99"/>
      <c r="K564" s="113"/>
      <c r="L564" s="154"/>
    </row>
    <row r="565">
      <c r="A565" s="113"/>
      <c r="B565" s="154"/>
      <c r="I565" s="99"/>
      <c r="K565" s="113"/>
      <c r="L565" s="154"/>
    </row>
    <row r="566">
      <c r="A566" s="113"/>
      <c r="B566" s="154"/>
      <c r="I566" s="99"/>
      <c r="K566" s="113"/>
      <c r="L566" s="154"/>
    </row>
    <row r="567">
      <c r="A567" s="113"/>
      <c r="B567" s="154"/>
      <c r="I567" s="99"/>
      <c r="K567" s="113"/>
      <c r="L567" s="154"/>
    </row>
    <row r="568">
      <c r="A568" s="113"/>
      <c r="B568" s="154"/>
      <c r="I568" s="99"/>
      <c r="K568" s="113"/>
      <c r="L568" s="154"/>
    </row>
    <row r="569">
      <c r="A569" s="113"/>
      <c r="B569" s="154"/>
      <c r="I569" s="99"/>
      <c r="K569" s="113"/>
      <c r="L569" s="154"/>
    </row>
    <row r="570">
      <c r="A570" s="113"/>
      <c r="B570" s="154"/>
      <c r="I570" s="99"/>
      <c r="K570" s="113"/>
      <c r="L570" s="154"/>
    </row>
    <row r="571">
      <c r="A571" s="113"/>
      <c r="B571" s="154"/>
      <c r="I571" s="99"/>
      <c r="K571" s="113"/>
      <c r="L571" s="154"/>
    </row>
    <row r="572">
      <c r="A572" s="113"/>
      <c r="B572" s="154"/>
      <c r="I572" s="99"/>
      <c r="K572" s="113"/>
      <c r="L572" s="154"/>
    </row>
    <row r="573">
      <c r="A573" s="113"/>
      <c r="B573" s="154"/>
      <c r="I573" s="99"/>
      <c r="K573" s="113"/>
      <c r="L573" s="154"/>
    </row>
    <row r="574">
      <c r="A574" s="113"/>
      <c r="B574" s="154"/>
      <c r="I574" s="99"/>
      <c r="K574" s="113"/>
      <c r="L574" s="154"/>
    </row>
    <row r="575">
      <c r="A575" s="113"/>
      <c r="B575" s="154"/>
      <c r="I575" s="99"/>
      <c r="K575" s="113"/>
      <c r="L575" s="154"/>
    </row>
    <row r="576">
      <c r="A576" s="113"/>
      <c r="B576" s="154"/>
      <c r="I576" s="99"/>
      <c r="K576" s="113"/>
      <c r="L576" s="154"/>
    </row>
    <row r="577">
      <c r="A577" s="113"/>
      <c r="B577" s="154"/>
      <c r="I577" s="99"/>
      <c r="K577" s="113"/>
      <c r="L577" s="154"/>
    </row>
    <row r="578">
      <c r="A578" s="113"/>
      <c r="B578" s="154"/>
      <c r="I578" s="99"/>
      <c r="K578" s="113"/>
      <c r="L578" s="154"/>
    </row>
    <row r="579">
      <c r="A579" s="113"/>
      <c r="B579" s="154"/>
      <c r="I579" s="99"/>
      <c r="K579" s="113"/>
      <c r="L579" s="154"/>
    </row>
    <row r="580">
      <c r="A580" s="113"/>
      <c r="B580" s="154"/>
      <c r="I580" s="99"/>
      <c r="K580" s="113"/>
      <c r="L580" s="154"/>
    </row>
    <row r="581">
      <c r="A581" s="113"/>
      <c r="B581" s="154"/>
      <c r="I581" s="99"/>
      <c r="K581" s="113"/>
      <c r="L581" s="154"/>
    </row>
    <row r="582">
      <c r="A582" s="113"/>
      <c r="B582" s="154"/>
      <c r="I582" s="99"/>
      <c r="K582" s="113"/>
      <c r="L582" s="154"/>
    </row>
    <row r="583">
      <c r="A583" s="113"/>
      <c r="B583" s="154"/>
      <c r="I583" s="99"/>
      <c r="K583" s="113"/>
      <c r="L583" s="154"/>
    </row>
    <row r="584">
      <c r="A584" s="113"/>
      <c r="B584" s="154"/>
      <c r="I584" s="99"/>
      <c r="K584" s="113"/>
      <c r="L584" s="154"/>
    </row>
    <row r="585">
      <c r="A585" s="113"/>
      <c r="B585" s="154"/>
      <c r="I585" s="99"/>
      <c r="K585" s="113"/>
      <c r="L585" s="154"/>
    </row>
    <row r="586">
      <c r="A586" s="113"/>
      <c r="B586" s="154"/>
      <c r="I586" s="99"/>
      <c r="K586" s="113"/>
      <c r="L586" s="154"/>
    </row>
    <row r="587">
      <c r="A587" s="113"/>
      <c r="B587" s="154"/>
      <c r="I587" s="99"/>
      <c r="K587" s="113"/>
      <c r="L587" s="154"/>
    </row>
    <row r="588">
      <c r="A588" s="113"/>
      <c r="B588" s="154"/>
      <c r="I588" s="99"/>
      <c r="K588" s="113"/>
      <c r="L588" s="154"/>
    </row>
    <row r="589">
      <c r="A589" s="113"/>
      <c r="B589" s="154"/>
      <c r="I589" s="99"/>
      <c r="K589" s="113"/>
      <c r="L589" s="154"/>
    </row>
    <row r="590">
      <c r="A590" s="113"/>
      <c r="B590" s="154"/>
      <c r="I590" s="99"/>
      <c r="K590" s="113"/>
      <c r="L590" s="154"/>
    </row>
    <row r="591">
      <c r="A591" s="113"/>
      <c r="B591" s="154"/>
      <c r="I591" s="99"/>
      <c r="K591" s="113"/>
      <c r="L591" s="154"/>
    </row>
    <row r="592">
      <c r="A592" s="113"/>
      <c r="B592" s="154"/>
      <c r="I592" s="99"/>
      <c r="K592" s="113"/>
      <c r="L592" s="154"/>
    </row>
    <row r="593">
      <c r="A593" s="113"/>
      <c r="B593" s="154"/>
      <c r="I593" s="99"/>
      <c r="K593" s="113"/>
      <c r="L593" s="154"/>
    </row>
    <row r="594">
      <c r="A594" s="113"/>
      <c r="B594" s="154"/>
      <c r="I594" s="99"/>
      <c r="K594" s="113"/>
      <c r="L594" s="154"/>
    </row>
    <row r="595">
      <c r="A595" s="113"/>
      <c r="B595" s="154"/>
      <c r="I595" s="99"/>
      <c r="K595" s="113"/>
      <c r="L595" s="154"/>
    </row>
    <row r="596">
      <c r="A596" s="113"/>
      <c r="B596" s="154"/>
      <c r="I596" s="99"/>
      <c r="K596" s="113"/>
      <c r="L596" s="154"/>
    </row>
    <row r="597">
      <c r="A597" s="113"/>
      <c r="B597" s="154"/>
      <c r="I597" s="99"/>
      <c r="K597" s="113"/>
      <c r="L597" s="154"/>
    </row>
    <row r="598">
      <c r="A598" s="113"/>
      <c r="B598" s="154"/>
      <c r="I598" s="99"/>
      <c r="K598" s="113"/>
      <c r="L598" s="154"/>
    </row>
    <row r="599">
      <c r="A599" s="113"/>
      <c r="B599" s="154"/>
      <c r="I599" s="99"/>
      <c r="K599" s="113"/>
      <c r="L599" s="154"/>
    </row>
    <row r="600">
      <c r="A600" s="113"/>
      <c r="B600" s="154"/>
      <c r="I600" s="99"/>
      <c r="K600" s="113"/>
      <c r="L600" s="154"/>
    </row>
    <row r="601">
      <c r="A601" s="113"/>
      <c r="B601" s="154"/>
      <c r="I601" s="99"/>
      <c r="K601" s="113"/>
      <c r="L601" s="154"/>
    </row>
    <row r="602">
      <c r="A602" s="113"/>
      <c r="B602" s="154"/>
      <c r="I602" s="99"/>
      <c r="K602" s="113"/>
      <c r="L602" s="154"/>
    </row>
    <row r="603">
      <c r="A603" s="113"/>
      <c r="B603" s="154"/>
      <c r="I603" s="99"/>
      <c r="K603" s="113"/>
      <c r="L603" s="154"/>
    </row>
    <row r="604">
      <c r="A604" s="113"/>
      <c r="B604" s="154"/>
      <c r="I604" s="99"/>
      <c r="K604" s="113"/>
      <c r="L604" s="154"/>
    </row>
    <row r="605">
      <c r="A605" s="113"/>
      <c r="B605" s="154"/>
      <c r="I605" s="99"/>
      <c r="K605" s="113"/>
      <c r="L605" s="154"/>
    </row>
    <row r="606">
      <c r="A606" s="113"/>
      <c r="B606" s="154"/>
      <c r="I606" s="99"/>
      <c r="K606" s="113"/>
      <c r="L606" s="154"/>
    </row>
    <row r="607">
      <c r="A607" s="113"/>
      <c r="B607" s="154"/>
      <c r="I607" s="99"/>
      <c r="K607" s="113"/>
      <c r="L607" s="154"/>
    </row>
    <row r="608">
      <c r="A608" s="113"/>
      <c r="B608" s="154"/>
      <c r="I608" s="99"/>
      <c r="K608" s="113"/>
      <c r="L608" s="154"/>
    </row>
    <row r="609">
      <c r="A609" s="113"/>
      <c r="B609" s="154"/>
      <c r="I609" s="99"/>
      <c r="K609" s="113"/>
      <c r="L609" s="154"/>
    </row>
    <row r="610">
      <c r="A610" s="113"/>
      <c r="B610" s="154"/>
      <c r="I610" s="99"/>
      <c r="K610" s="113"/>
      <c r="L610" s="154"/>
    </row>
    <row r="611">
      <c r="A611" s="113"/>
      <c r="B611" s="154"/>
      <c r="I611" s="99"/>
      <c r="K611" s="113"/>
      <c r="L611" s="154"/>
    </row>
    <row r="612">
      <c r="A612" s="113"/>
      <c r="B612" s="154"/>
      <c r="I612" s="99"/>
      <c r="K612" s="113"/>
      <c r="L612" s="154"/>
    </row>
    <row r="613">
      <c r="A613" s="113"/>
      <c r="B613" s="154"/>
      <c r="I613" s="99"/>
      <c r="K613" s="113"/>
      <c r="L613" s="154"/>
    </row>
    <row r="614">
      <c r="A614" s="113"/>
      <c r="B614" s="154"/>
      <c r="I614" s="99"/>
      <c r="K614" s="113"/>
      <c r="L614" s="154"/>
    </row>
    <row r="615">
      <c r="A615" s="113"/>
      <c r="B615" s="154"/>
      <c r="I615" s="99"/>
      <c r="K615" s="113"/>
      <c r="L615" s="154"/>
    </row>
    <row r="616">
      <c r="A616" s="113"/>
      <c r="B616" s="154"/>
      <c r="I616" s="99"/>
      <c r="K616" s="113"/>
      <c r="L616" s="154"/>
    </row>
    <row r="617">
      <c r="A617" s="113"/>
      <c r="B617" s="154"/>
      <c r="I617" s="99"/>
      <c r="K617" s="113"/>
      <c r="L617" s="154"/>
    </row>
    <row r="618">
      <c r="A618" s="113"/>
      <c r="B618" s="154"/>
      <c r="I618" s="99"/>
      <c r="K618" s="113"/>
      <c r="L618" s="154"/>
    </row>
    <row r="619">
      <c r="A619" s="113"/>
      <c r="B619" s="154"/>
      <c r="I619" s="99"/>
      <c r="K619" s="113"/>
      <c r="L619" s="154"/>
    </row>
    <row r="620">
      <c r="A620" s="113"/>
      <c r="B620" s="154"/>
      <c r="I620" s="99"/>
      <c r="K620" s="113"/>
      <c r="L620" s="154"/>
    </row>
    <row r="621">
      <c r="A621" s="113"/>
      <c r="B621" s="154"/>
      <c r="I621" s="99"/>
      <c r="K621" s="113"/>
      <c r="L621" s="154"/>
    </row>
    <row r="622">
      <c r="A622" s="113"/>
      <c r="B622" s="154"/>
      <c r="I622" s="99"/>
      <c r="K622" s="113"/>
      <c r="L622" s="154"/>
    </row>
    <row r="623">
      <c r="A623" s="113"/>
      <c r="B623" s="154"/>
      <c r="I623" s="99"/>
      <c r="K623" s="113"/>
      <c r="L623" s="154"/>
    </row>
    <row r="624">
      <c r="A624" s="113"/>
      <c r="B624" s="154"/>
      <c r="I624" s="99"/>
      <c r="K624" s="113"/>
      <c r="L624" s="154"/>
    </row>
    <row r="625">
      <c r="A625" s="113"/>
      <c r="B625" s="154"/>
      <c r="I625" s="99"/>
      <c r="K625" s="113"/>
      <c r="L625" s="154"/>
    </row>
    <row r="626">
      <c r="A626" s="113"/>
      <c r="B626" s="154"/>
      <c r="I626" s="99"/>
      <c r="K626" s="113"/>
      <c r="L626" s="154"/>
    </row>
    <row r="627">
      <c r="A627" s="113"/>
      <c r="B627" s="154"/>
      <c r="I627" s="99"/>
      <c r="K627" s="113"/>
      <c r="L627" s="154"/>
    </row>
    <row r="628">
      <c r="A628" s="113"/>
      <c r="B628" s="154"/>
      <c r="I628" s="99"/>
      <c r="K628" s="113"/>
      <c r="L628" s="154"/>
    </row>
    <row r="629">
      <c r="A629" s="113"/>
      <c r="B629" s="154"/>
      <c r="I629" s="99"/>
      <c r="K629" s="113"/>
      <c r="L629" s="154"/>
    </row>
    <row r="630">
      <c r="A630" s="113"/>
      <c r="B630" s="154"/>
      <c r="I630" s="99"/>
      <c r="K630" s="113"/>
      <c r="L630" s="154"/>
    </row>
    <row r="631">
      <c r="A631" s="113"/>
      <c r="B631" s="154"/>
      <c r="I631" s="99"/>
      <c r="K631" s="113"/>
      <c r="L631" s="154"/>
    </row>
    <row r="632">
      <c r="A632" s="113"/>
      <c r="B632" s="154"/>
      <c r="I632" s="99"/>
      <c r="K632" s="113"/>
      <c r="L632" s="154"/>
    </row>
    <row r="633">
      <c r="A633" s="113"/>
      <c r="B633" s="154"/>
      <c r="I633" s="99"/>
      <c r="K633" s="113"/>
      <c r="L633" s="154"/>
    </row>
    <row r="634">
      <c r="A634" s="113"/>
      <c r="B634" s="154"/>
      <c r="I634" s="99"/>
      <c r="K634" s="113"/>
      <c r="L634" s="154"/>
    </row>
    <row r="635">
      <c r="A635" s="113"/>
      <c r="B635" s="154"/>
      <c r="I635" s="99"/>
      <c r="K635" s="113"/>
      <c r="L635" s="154"/>
    </row>
    <row r="636">
      <c r="A636" s="113"/>
      <c r="B636" s="154"/>
      <c r="I636" s="99"/>
      <c r="K636" s="113"/>
      <c r="L636" s="154"/>
    </row>
    <row r="637">
      <c r="A637" s="113"/>
      <c r="B637" s="154"/>
      <c r="I637" s="99"/>
      <c r="K637" s="113"/>
      <c r="L637" s="154"/>
    </row>
    <row r="638">
      <c r="A638" s="113"/>
      <c r="B638" s="154"/>
      <c r="I638" s="99"/>
      <c r="K638" s="113"/>
      <c r="L638" s="154"/>
    </row>
    <row r="639">
      <c r="A639" s="113"/>
      <c r="B639" s="154"/>
      <c r="I639" s="99"/>
      <c r="K639" s="113"/>
      <c r="L639" s="154"/>
    </row>
    <row r="640">
      <c r="A640" s="113"/>
      <c r="B640" s="154"/>
      <c r="I640" s="99"/>
      <c r="K640" s="113"/>
      <c r="L640" s="154"/>
    </row>
    <row r="641">
      <c r="A641" s="113"/>
      <c r="B641" s="154"/>
      <c r="I641" s="99"/>
      <c r="K641" s="113"/>
      <c r="L641" s="154"/>
    </row>
    <row r="642">
      <c r="A642" s="113"/>
      <c r="B642" s="154"/>
      <c r="I642" s="99"/>
      <c r="K642" s="113"/>
      <c r="L642" s="154"/>
    </row>
    <row r="643">
      <c r="A643" s="113"/>
      <c r="B643" s="154"/>
      <c r="I643" s="99"/>
      <c r="K643" s="113"/>
      <c r="L643" s="154"/>
    </row>
    <row r="644">
      <c r="A644" s="113"/>
      <c r="B644" s="154"/>
      <c r="I644" s="99"/>
      <c r="K644" s="113"/>
      <c r="L644" s="154"/>
    </row>
    <row r="645">
      <c r="A645" s="113"/>
      <c r="B645" s="154"/>
      <c r="I645" s="99"/>
      <c r="K645" s="113"/>
      <c r="L645" s="154"/>
    </row>
    <row r="646">
      <c r="A646" s="113"/>
      <c r="B646" s="154"/>
      <c r="I646" s="99"/>
      <c r="K646" s="113"/>
      <c r="L646" s="154"/>
    </row>
    <row r="647">
      <c r="A647" s="113"/>
      <c r="B647" s="154"/>
      <c r="I647" s="99"/>
      <c r="K647" s="113"/>
      <c r="L647" s="154"/>
    </row>
    <row r="648">
      <c r="A648" s="113"/>
      <c r="B648" s="154"/>
      <c r="I648" s="99"/>
      <c r="K648" s="113"/>
      <c r="L648" s="154"/>
    </row>
    <row r="649">
      <c r="A649" s="113"/>
      <c r="B649" s="154"/>
      <c r="I649" s="99"/>
      <c r="K649" s="113"/>
      <c r="L649" s="154"/>
    </row>
    <row r="650">
      <c r="A650" s="113"/>
      <c r="B650" s="154"/>
      <c r="I650" s="99"/>
      <c r="K650" s="113"/>
      <c r="L650" s="154"/>
    </row>
    <row r="651">
      <c r="A651" s="113"/>
      <c r="B651" s="154"/>
      <c r="I651" s="99"/>
      <c r="K651" s="113"/>
      <c r="L651" s="154"/>
    </row>
    <row r="652">
      <c r="A652" s="113"/>
      <c r="B652" s="154"/>
      <c r="I652" s="99"/>
      <c r="K652" s="113"/>
      <c r="L652" s="154"/>
    </row>
    <row r="653">
      <c r="A653" s="113"/>
      <c r="B653" s="154"/>
      <c r="I653" s="99"/>
      <c r="K653" s="113"/>
      <c r="L653" s="154"/>
    </row>
    <row r="654">
      <c r="A654" s="113"/>
      <c r="B654" s="154"/>
      <c r="I654" s="99"/>
      <c r="K654" s="113"/>
      <c r="L654" s="154"/>
    </row>
    <row r="655">
      <c r="A655" s="113"/>
      <c r="B655" s="154"/>
      <c r="I655" s="99"/>
      <c r="K655" s="113"/>
      <c r="L655" s="154"/>
    </row>
    <row r="656">
      <c r="A656" s="113"/>
      <c r="B656" s="154"/>
      <c r="I656" s="99"/>
      <c r="K656" s="113"/>
      <c r="L656" s="154"/>
    </row>
    <row r="657">
      <c r="A657" s="113"/>
      <c r="B657" s="154"/>
      <c r="I657" s="99"/>
      <c r="K657" s="113"/>
      <c r="L657" s="154"/>
    </row>
    <row r="658">
      <c r="A658" s="113"/>
      <c r="B658" s="154"/>
      <c r="I658" s="99"/>
      <c r="K658" s="113"/>
      <c r="L658" s="154"/>
    </row>
    <row r="659">
      <c r="A659" s="113"/>
      <c r="B659" s="154"/>
      <c r="I659" s="99"/>
      <c r="K659" s="113"/>
      <c r="L659" s="154"/>
    </row>
    <row r="660">
      <c r="A660" s="113"/>
      <c r="B660" s="154"/>
      <c r="I660" s="99"/>
      <c r="K660" s="113"/>
      <c r="L660" s="154"/>
    </row>
    <row r="661">
      <c r="A661" s="113"/>
      <c r="B661" s="154"/>
      <c r="I661" s="99"/>
      <c r="K661" s="113"/>
      <c r="L661" s="154"/>
    </row>
    <row r="662">
      <c r="A662" s="113"/>
      <c r="B662" s="154"/>
      <c r="I662" s="99"/>
      <c r="K662" s="113"/>
      <c r="L662" s="154"/>
    </row>
    <row r="663">
      <c r="A663" s="113"/>
      <c r="B663" s="154"/>
      <c r="I663" s="99"/>
      <c r="K663" s="113"/>
      <c r="L663" s="154"/>
    </row>
    <row r="664">
      <c r="A664" s="113"/>
      <c r="B664" s="154"/>
      <c r="I664" s="99"/>
      <c r="K664" s="113"/>
      <c r="L664" s="154"/>
    </row>
    <row r="665">
      <c r="A665" s="113"/>
      <c r="B665" s="154"/>
      <c r="I665" s="99"/>
      <c r="K665" s="113"/>
      <c r="L665" s="154"/>
    </row>
    <row r="666">
      <c r="A666" s="113"/>
      <c r="B666" s="154"/>
      <c r="I666" s="99"/>
      <c r="K666" s="113"/>
      <c r="L666" s="154"/>
    </row>
    <row r="667">
      <c r="A667" s="113"/>
      <c r="B667" s="154"/>
      <c r="I667" s="99"/>
      <c r="K667" s="113"/>
      <c r="L667" s="154"/>
    </row>
    <row r="668">
      <c r="A668" s="113"/>
      <c r="B668" s="154"/>
      <c r="I668" s="99"/>
      <c r="K668" s="113"/>
      <c r="L668" s="154"/>
    </row>
    <row r="669">
      <c r="A669" s="113"/>
      <c r="B669" s="154"/>
      <c r="I669" s="99"/>
      <c r="K669" s="113"/>
      <c r="L669" s="154"/>
    </row>
    <row r="670">
      <c r="A670" s="113"/>
      <c r="B670" s="154"/>
      <c r="I670" s="99"/>
      <c r="K670" s="113"/>
      <c r="L670" s="154"/>
    </row>
    <row r="671">
      <c r="A671" s="113"/>
      <c r="B671" s="154"/>
      <c r="I671" s="99"/>
      <c r="K671" s="113"/>
      <c r="L671" s="154"/>
    </row>
    <row r="672">
      <c r="A672" s="113"/>
      <c r="B672" s="154"/>
      <c r="I672" s="99"/>
      <c r="K672" s="113"/>
      <c r="L672" s="154"/>
    </row>
    <row r="673">
      <c r="A673" s="113"/>
      <c r="B673" s="154"/>
      <c r="I673" s="99"/>
      <c r="K673" s="113"/>
      <c r="L673" s="154"/>
    </row>
    <row r="674">
      <c r="A674" s="113"/>
      <c r="B674" s="154"/>
      <c r="I674" s="99"/>
      <c r="K674" s="113"/>
      <c r="L674" s="154"/>
    </row>
    <row r="675">
      <c r="A675" s="113"/>
      <c r="B675" s="154"/>
      <c r="I675" s="99"/>
      <c r="K675" s="113"/>
      <c r="L675" s="154"/>
    </row>
    <row r="676">
      <c r="A676" s="113"/>
      <c r="B676" s="154"/>
      <c r="I676" s="99"/>
      <c r="K676" s="113"/>
      <c r="L676" s="154"/>
    </row>
    <row r="677">
      <c r="A677" s="113"/>
      <c r="B677" s="154"/>
      <c r="I677" s="99"/>
      <c r="K677" s="113"/>
      <c r="L677" s="154"/>
    </row>
    <row r="678">
      <c r="A678" s="113"/>
      <c r="B678" s="154"/>
      <c r="I678" s="99"/>
      <c r="K678" s="113"/>
      <c r="L678" s="154"/>
    </row>
    <row r="679">
      <c r="A679" s="113"/>
      <c r="B679" s="154"/>
      <c r="I679" s="99"/>
      <c r="K679" s="113"/>
      <c r="L679" s="154"/>
    </row>
    <row r="680">
      <c r="A680" s="113"/>
      <c r="B680" s="154"/>
      <c r="I680" s="99"/>
      <c r="K680" s="113"/>
      <c r="L680" s="154"/>
    </row>
    <row r="681">
      <c r="A681" s="113"/>
      <c r="B681" s="154"/>
      <c r="I681" s="99"/>
      <c r="K681" s="113"/>
      <c r="L681" s="154"/>
    </row>
    <row r="682">
      <c r="A682" s="113"/>
      <c r="B682" s="154"/>
      <c r="I682" s="99"/>
      <c r="K682" s="113"/>
      <c r="L682" s="154"/>
    </row>
    <row r="683">
      <c r="A683" s="113"/>
      <c r="B683" s="154"/>
      <c r="I683" s="99"/>
      <c r="K683" s="113"/>
      <c r="L683" s="154"/>
    </row>
    <row r="684">
      <c r="A684" s="113"/>
      <c r="B684" s="154"/>
      <c r="I684" s="99"/>
      <c r="K684" s="113"/>
      <c r="L684" s="154"/>
    </row>
    <row r="685">
      <c r="A685" s="113"/>
      <c r="B685" s="154"/>
      <c r="I685" s="99"/>
      <c r="K685" s="113"/>
      <c r="L685" s="154"/>
    </row>
    <row r="686">
      <c r="A686" s="113"/>
      <c r="B686" s="154"/>
      <c r="I686" s="99"/>
      <c r="K686" s="113"/>
      <c r="L686" s="154"/>
    </row>
    <row r="687">
      <c r="A687" s="113"/>
      <c r="B687" s="154"/>
      <c r="I687" s="99"/>
      <c r="K687" s="113"/>
      <c r="L687" s="154"/>
    </row>
    <row r="688">
      <c r="A688" s="113"/>
      <c r="B688" s="154"/>
      <c r="I688" s="99"/>
      <c r="K688" s="113"/>
      <c r="L688" s="154"/>
    </row>
    <row r="689">
      <c r="A689" s="113"/>
      <c r="B689" s="154"/>
      <c r="I689" s="99"/>
      <c r="K689" s="113"/>
      <c r="L689" s="154"/>
    </row>
    <row r="690">
      <c r="A690" s="113"/>
      <c r="B690" s="154"/>
      <c r="I690" s="99"/>
      <c r="K690" s="113"/>
      <c r="L690" s="154"/>
    </row>
    <row r="691">
      <c r="A691" s="113"/>
      <c r="B691" s="154"/>
      <c r="I691" s="99"/>
      <c r="K691" s="113"/>
      <c r="L691" s="154"/>
    </row>
    <row r="692">
      <c r="A692" s="113"/>
      <c r="B692" s="154"/>
      <c r="I692" s="99"/>
      <c r="K692" s="113"/>
      <c r="L692" s="154"/>
    </row>
    <row r="693">
      <c r="A693" s="113"/>
      <c r="B693" s="154"/>
      <c r="I693" s="99"/>
      <c r="K693" s="113"/>
      <c r="L693" s="154"/>
    </row>
    <row r="694">
      <c r="A694" s="113"/>
      <c r="B694" s="154"/>
      <c r="I694" s="99"/>
      <c r="K694" s="113"/>
      <c r="L694" s="154"/>
    </row>
    <row r="695">
      <c r="A695" s="113"/>
      <c r="B695" s="154"/>
      <c r="I695" s="99"/>
      <c r="K695" s="113"/>
      <c r="L695" s="154"/>
    </row>
    <row r="696">
      <c r="A696" s="113"/>
      <c r="B696" s="154"/>
      <c r="I696" s="99"/>
      <c r="K696" s="113"/>
      <c r="L696" s="154"/>
    </row>
    <row r="697">
      <c r="A697" s="113"/>
      <c r="B697" s="154"/>
      <c r="I697" s="99"/>
      <c r="K697" s="113"/>
      <c r="L697" s="154"/>
    </row>
    <row r="698">
      <c r="A698" s="113"/>
      <c r="B698" s="154"/>
      <c r="I698" s="99"/>
      <c r="K698" s="113"/>
      <c r="L698" s="154"/>
    </row>
    <row r="699">
      <c r="A699" s="113"/>
      <c r="B699" s="154"/>
      <c r="I699" s="99"/>
      <c r="K699" s="113"/>
      <c r="L699" s="154"/>
    </row>
    <row r="700">
      <c r="A700" s="113"/>
      <c r="B700" s="154"/>
      <c r="I700" s="99"/>
      <c r="K700" s="113"/>
      <c r="L700" s="154"/>
    </row>
    <row r="701">
      <c r="A701" s="113"/>
      <c r="B701" s="154"/>
      <c r="I701" s="99"/>
      <c r="K701" s="113"/>
      <c r="L701" s="154"/>
    </row>
    <row r="702">
      <c r="A702" s="113"/>
      <c r="B702" s="154"/>
      <c r="I702" s="99"/>
      <c r="K702" s="113"/>
      <c r="L702" s="154"/>
    </row>
    <row r="703">
      <c r="A703" s="113"/>
      <c r="B703" s="154"/>
      <c r="I703" s="99"/>
      <c r="K703" s="113"/>
      <c r="L703" s="154"/>
    </row>
    <row r="704">
      <c r="A704" s="113"/>
      <c r="B704" s="154"/>
      <c r="I704" s="99"/>
      <c r="K704" s="113"/>
      <c r="L704" s="154"/>
    </row>
    <row r="705">
      <c r="A705" s="113"/>
      <c r="B705" s="154"/>
      <c r="I705" s="99"/>
      <c r="K705" s="113"/>
      <c r="L705" s="154"/>
    </row>
    <row r="706">
      <c r="A706" s="113"/>
      <c r="B706" s="154"/>
      <c r="I706" s="99"/>
      <c r="K706" s="113"/>
      <c r="L706" s="154"/>
    </row>
    <row r="707">
      <c r="A707" s="113"/>
      <c r="B707" s="154"/>
      <c r="I707" s="99"/>
      <c r="K707" s="113"/>
      <c r="L707" s="154"/>
    </row>
    <row r="708">
      <c r="A708" s="113"/>
      <c r="B708" s="154"/>
      <c r="I708" s="99"/>
      <c r="K708" s="113"/>
      <c r="L708" s="154"/>
    </row>
    <row r="709">
      <c r="A709" s="113"/>
      <c r="B709" s="154"/>
      <c r="I709" s="99"/>
      <c r="K709" s="113"/>
      <c r="L709" s="154"/>
    </row>
    <row r="710">
      <c r="A710" s="113"/>
      <c r="B710" s="154"/>
      <c r="I710" s="99"/>
      <c r="K710" s="113"/>
      <c r="L710" s="154"/>
    </row>
    <row r="711">
      <c r="A711" s="113"/>
      <c r="B711" s="154"/>
      <c r="I711" s="99"/>
      <c r="K711" s="113"/>
      <c r="L711" s="154"/>
    </row>
    <row r="712">
      <c r="A712" s="113"/>
      <c r="B712" s="154"/>
      <c r="I712" s="99"/>
      <c r="K712" s="113"/>
      <c r="L712" s="154"/>
    </row>
    <row r="713">
      <c r="A713" s="113"/>
      <c r="B713" s="154"/>
      <c r="I713" s="99"/>
      <c r="K713" s="113"/>
      <c r="L713" s="154"/>
    </row>
    <row r="714">
      <c r="A714" s="113"/>
      <c r="B714" s="154"/>
      <c r="I714" s="99"/>
      <c r="K714" s="113"/>
      <c r="L714" s="154"/>
    </row>
    <row r="715">
      <c r="A715" s="113"/>
      <c r="B715" s="154"/>
      <c r="I715" s="99"/>
      <c r="K715" s="113"/>
      <c r="L715" s="154"/>
    </row>
    <row r="716">
      <c r="A716" s="113"/>
      <c r="B716" s="154"/>
      <c r="I716" s="99"/>
      <c r="K716" s="113"/>
      <c r="L716" s="154"/>
    </row>
    <row r="717">
      <c r="A717" s="113"/>
      <c r="B717" s="154"/>
      <c r="I717" s="99"/>
      <c r="K717" s="113"/>
      <c r="L717" s="154"/>
    </row>
    <row r="718">
      <c r="A718" s="113"/>
      <c r="B718" s="154"/>
      <c r="I718" s="99"/>
      <c r="K718" s="113"/>
      <c r="L718" s="154"/>
    </row>
    <row r="719">
      <c r="A719" s="113"/>
      <c r="B719" s="154"/>
      <c r="I719" s="99"/>
      <c r="K719" s="113"/>
      <c r="L719" s="154"/>
    </row>
    <row r="720">
      <c r="A720" s="113"/>
      <c r="B720" s="154"/>
      <c r="I720" s="99"/>
      <c r="K720" s="113"/>
      <c r="L720" s="154"/>
    </row>
    <row r="721">
      <c r="A721" s="113"/>
      <c r="B721" s="154"/>
      <c r="I721" s="99"/>
      <c r="K721" s="113"/>
      <c r="L721" s="154"/>
    </row>
    <row r="722">
      <c r="A722" s="113"/>
      <c r="B722" s="154"/>
      <c r="I722" s="99"/>
      <c r="K722" s="113"/>
      <c r="L722" s="154"/>
    </row>
    <row r="723">
      <c r="A723" s="113"/>
      <c r="B723" s="154"/>
      <c r="I723" s="99"/>
      <c r="K723" s="113"/>
      <c r="L723" s="154"/>
    </row>
    <row r="724">
      <c r="A724" s="113"/>
      <c r="B724" s="154"/>
      <c r="I724" s="99"/>
      <c r="K724" s="113"/>
      <c r="L724" s="154"/>
    </row>
    <row r="725">
      <c r="A725" s="113"/>
      <c r="B725" s="154"/>
      <c r="I725" s="99"/>
      <c r="K725" s="113"/>
      <c r="L725" s="154"/>
    </row>
    <row r="726">
      <c r="A726" s="113"/>
      <c r="B726" s="154"/>
      <c r="I726" s="99"/>
      <c r="K726" s="113"/>
      <c r="L726" s="154"/>
    </row>
    <row r="727">
      <c r="A727" s="113"/>
      <c r="B727" s="154"/>
      <c r="I727" s="99"/>
      <c r="K727" s="113"/>
      <c r="L727" s="154"/>
    </row>
    <row r="728">
      <c r="A728" s="113"/>
      <c r="B728" s="154"/>
      <c r="I728" s="99"/>
      <c r="K728" s="113"/>
      <c r="L728" s="154"/>
    </row>
    <row r="729">
      <c r="A729" s="113"/>
      <c r="B729" s="154"/>
      <c r="I729" s="99"/>
      <c r="K729" s="113"/>
      <c r="L729" s="154"/>
    </row>
    <row r="730">
      <c r="A730" s="113"/>
      <c r="B730" s="154"/>
      <c r="I730" s="99"/>
      <c r="K730" s="113"/>
      <c r="L730" s="154"/>
    </row>
    <row r="731">
      <c r="A731" s="113"/>
      <c r="B731" s="154"/>
      <c r="I731" s="99"/>
      <c r="K731" s="113"/>
      <c r="L731" s="154"/>
    </row>
    <row r="732">
      <c r="A732" s="113"/>
      <c r="B732" s="154"/>
      <c r="I732" s="99"/>
      <c r="K732" s="113"/>
      <c r="L732" s="154"/>
    </row>
    <row r="733">
      <c r="A733" s="113"/>
      <c r="B733" s="154"/>
      <c r="I733" s="99"/>
      <c r="K733" s="113"/>
      <c r="L733" s="154"/>
    </row>
    <row r="734">
      <c r="A734" s="113"/>
      <c r="B734" s="154"/>
      <c r="I734" s="99"/>
      <c r="K734" s="113"/>
      <c r="L734" s="154"/>
    </row>
    <row r="735">
      <c r="A735" s="113"/>
      <c r="B735" s="154"/>
      <c r="I735" s="99"/>
      <c r="K735" s="113"/>
      <c r="L735" s="154"/>
    </row>
    <row r="736">
      <c r="A736" s="113"/>
      <c r="B736" s="154"/>
      <c r="I736" s="99"/>
      <c r="K736" s="113"/>
      <c r="L736" s="154"/>
    </row>
    <row r="737">
      <c r="A737" s="113"/>
      <c r="B737" s="154"/>
      <c r="I737" s="99"/>
      <c r="K737" s="113"/>
      <c r="L737" s="154"/>
    </row>
    <row r="738">
      <c r="A738" s="113"/>
      <c r="B738" s="154"/>
      <c r="I738" s="99"/>
      <c r="K738" s="113"/>
      <c r="L738" s="154"/>
    </row>
    <row r="739">
      <c r="A739" s="113"/>
      <c r="B739" s="154"/>
      <c r="I739" s="99"/>
      <c r="K739" s="113"/>
      <c r="L739" s="154"/>
    </row>
    <row r="740">
      <c r="A740" s="113"/>
      <c r="B740" s="154"/>
      <c r="I740" s="99"/>
      <c r="K740" s="113"/>
      <c r="L740" s="154"/>
    </row>
    <row r="741">
      <c r="A741" s="113"/>
      <c r="B741" s="154"/>
      <c r="I741" s="99"/>
      <c r="K741" s="113"/>
      <c r="L741" s="154"/>
    </row>
    <row r="742">
      <c r="A742" s="113"/>
      <c r="B742" s="154"/>
      <c r="I742" s="99"/>
      <c r="K742" s="113"/>
      <c r="L742" s="154"/>
    </row>
    <row r="743">
      <c r="A743" s="113"/>
      <c r="B743" s="154"/>
      <c r="I743" s="99"/>
      <c r="K743" s="113"/>
      <c r="L743" s="154"/>
    </row>
    <row r="744">
      <c r="A744" s="113"/>
      <c r="B744" s="154"/>
      <c r="I744" s="99"/>
      <c r="K744" s="113"/>
      <c r="L744" s="154"/>
    </row>
    <row r="745">
      <c r="A745" s="113"/>
      <c r="B745" s="154"/>
      <c r="I745" s="99"/>
      <c r="K745" s="113"/>
      <c r="L745" s="154"/>
    </row>
    <row r="746">
      <c r="A746" s="113"/>
      <c r="B746" s="154"/>
      <c r="I746" s="99"/>
      <c r="K746" s="113"/>
      <c r="L746" s="154"/>
    </row>
    <row r="747">
      <c r="A747" s="113"/>
      <c r="B747" s="154"/>
      <c r="I747" s="99"/>
      <c r="K747" s="113"/>
      <c r="L747" s="154"/>
    </row>
    <row r="748">
      <c r="A748" s="113"/>
      <c r="B748" s="154"/>
      <c r="I748" s="99"/>
      <c r="K748" s="113"/>
      <c r="L748" s="154"/>
    </row>
    <row r="749">
      <c r="A749" s="113"/>
      <c r="B749" s="154"/>
      <c r="I749" s="99"/>
      <c r="K749" s="113"/>
      <c r="L749" s="154"/>
    </row>
    <row r="750">
      <c r="A750" s="113"/>
      <c r="B750" s="154"/>
      <c r="I750" s="99"/>
      <c r="K750" s="113"/>
      <c r="L750" s="154"/>
    </row>
    <row r="751">
      <c r="A751" s="113"/>
      <c r="B751" s="154"/>
      <c r="I751" s="99"/>
      <c r="K751" s="113"/>
      <c r="L751" s="154"/>
    </row>
    <row r="752">
      <c r="A752" s="113"/>
      <c r="B752" s="154"/>
      <c r="I752" s="99"/>
      <c r="K752" s="113"/>
      <c r="L752" s="154"/>
    </row>
    <row r="753">
      <c r="A753" s="113"/>
      <c r="B753" s="154"/>
      <c r="I753" s="99"/>
      <c r="K753" s="113"/>
      <c r="L753" s="154"/>
    </row>
    <row r="754">
      <c r="A754" s="113"/>
      <c r="B754" s="154"/>
      <c r="I754" s="99"/>
      <c r="K754" s="113"/>
      <c r="L754" s="154"/>
    </row>
    <row r="755">
      <c r="A755" s="113"/>
      <c r="B755" s="154"/>
      <c r="I755" s="99"/>
      <c r="K755" s="113"/>
      <c r="L755" s="154"/>
    </row>
    <row r="756">
      <c r="A756" s="113"/>
      <c r="B756" s="154"/>
      <c r="I756" s="99"/>
      <c r="K756" s="113"/>
      <c r="L756" s="154"/>
    </row>
    <row r="757">
      <c r="A757" s="113"/>
      <c r="B757" s="154"/>
      <c r="I757" s="99"/>
      <c r="K757" s="113"/>
      <c r="L757" s="154"/>
    </row>
    <row r="758">
      <c r="A758" s="113"/>
      <c r="B758" s="154"/>
      <c r="I758" s="99"/>
      <c r="K758" s="113"/>
      <c r="L758" s="154"/>
    </row>
    <row r="759">
      <c r="A759" s="113"/>
      <c r="B759" s="154"/>
      <c r="I759" s="99"/>
      <c r="K759" s="113"/>
      <c r="L759" s="154"/>
    </row>
    <row r="760">
      <c r="A760" s="113"/>
      <c r="B760" s="154"/>
      <c r="I760" s="99"/>
      <c r="K760" s="113"/>
      <c r="L760" s="154"/>
    </row>
    <row r="761">
      <c r="A761" s="113"/>
      <c r="B761" s="154"/>
      <c r="I761" s="99"/>
      <c r="K761" s="113"/>
      <c r="L761" s="154"/>
    </row>
    <row r="762">
      <c r="A762" s="113"/>
      <c r="B762" s="154"/>
      <c r="I762" s="99"/>
      <c r="K762" s="113"/>
      <c r="L762" s="154"/>
    </row>
    <row r="763">
      <c r="A763" s="113"/>
      <c r="B763" s="154"/>
      <c r="I763" s="99"/>
      <c r="K763" s="113"/>
      <c r="L763" s="154"/>
    </row>
    <row r="764">
      <c r="A764" s="113"/>
      <c r="B764" s="154"/>
      <c r="I764" s="99"/>
      <c r="K764" s="113"/>
      <c r="L764" s="154"/>
    </row>
    <row r="765">
      <c r="A765" s="113"/>
      <c r="B765" s="154"/>
      <c r="I765" s="99"/>
      <c r="K765" s="113"/>
      <c r="L765" s="154"/>
    </row>
    <row r="766">
      <c r="A766" s="113"/>
      <c r="B766" s="154"/>
      <c r="I766" s="99"/>
      <c r="K766" s="113"/>
      <c r="L766" s="154"/>
    </row>
    <row r="767">
      <c r="A767" s="113"/>
      <c r="B767" s="154"/>
      <c r="I767" s="99"/>
      <c r="K767" s="113"/>
      <c r="L767" s="154"/>
    </row>
    <row r="768">
      <c r="A768" s="113"/>
      <c r="B768" s="154"/>
      <c r="I768" s="99"/>
      <c r="K768" s="113"/>
      <c r="L768" s="154"/>
    </row>
    <row r="769">
      <c r="A769" s="113"/>
      <c r="B769" s="154"/>
      <c r="I769" s="99"/>
      <c r="K769" s="113"/>
      <c r="L769" s="154"/>
    </row>
    <row r="770">
      <c r="A770" s="113"/>
      <c r="B770" s="154"/>
      <c r="I770" s="99"/>
      <c r="K770" s="113"/>
      <c r="L770" s="154"/>
    </row>
    <row r="771">
      <c r="A771" s="113"/>
      <c r="B771" s="154"/>
      <c r="I771" s="99"/>
      <c r="K771" s="113"/>
      <c r="L771" s="154"/>
    </row>
    <row r="772">
      <c r="A772" s="113"/>
      <c r="B772" s="154"/>
      <c r="I772" s="99"/>
      <c r="K772" s="113"/>
      <c r="L772" s="154"/>
    </row>
    <row r="773">
      <c r="A773" s="113"/>
      <c r="B773" s="154"/>
      <c r="I773" s="99"/>
      <c r="K773" s="113"/>
      <c r="L773" s="154"/>
    </row>
    <row r="774">
      <c r="A774" s="113"/>
      <c r="B774" s="154"/>
      <c r="I774" s="99"/>
      <c r="K774" s="113"/>
      <c r="L774" s="154"/>
    </row>
    <row r="775">
      <c r="A775" s="113"/>
      <c r="B775" s="154"/>
      <c r="I775" s="99"/>
      <c r="K775" s="113"/>
      <c r="L775" s="154"/>
    </row>
    <row r="776">
      <c r="A776" s="113"/>
      <c r="B776" s="154"/>
      <c r="I776" s="99"/>
      <c r="K776" s="113"/>
      <c r="L776" s="154"/>
    </row>
    <row r="777">
      <c r="A777" s="113"/>
      <c r="B777" s="154"/>
      <c r="I777" s="99"/>
      <c r="K777" s="113"/>
      <c r="L777" s="154"/>
    </row>
    <row r="778">
      <c r="A778" s="113"/>
      <c r="B778" s="154"/>
      <c r="I778" s="99"/>
      <c r="K778" s="113"/>
      <c r="L778" s="154"/>
    </row>
    <row r="779">
      <c r="A779" s="113"/>
      <c r="B779" s="154"/>
      <c r="I779" s="99"/>
      <c r="K779" s="113"/>
      <c r="L779" s="154"/>
    </row>
    <row r="780">
      <c r="A780" s="113"/>
      <c r="B780" s="154"/>
      <c r="I780" s="99"/>
      <c r="K780" s="113"/>
      <c r="L780" s="154"/>
    </row>
    <row r="781">
      <c r="A781" s="113"/>
      <c r="B781" s="154"/>
      <c r="I781" s="99"/>
      <c r="K781" s="113"/>
      <c r="L781" s="154"/>
    </row>
    <row r="782">
      <c r="A782" s="113"/>
      <c r="B782" s="154"/>
      <c r="I782" s="99"/>
      <c r="K782" s="113"/>
      <c r="L782" s="154"/>
    </row>
    <row r="783">
      <c r="A783" s="113"/>
      <c r="B783" s="154"/>
      <c r="I783" s="99"/>
      <c r="K783" s="113"/>
      <c r="L783" s="154"/>
    </row>
    <row r="784">
      <c r="A784" s="113"/>
      <c r="B784" s="154"/>
      <c r="I784" s="99"/>
      <c r="K784" s="113"/>
      <c r="L784" s="154"/>
    </row>
    <row r="785">
      <c r="A785" s="113"/>
      <c r="B785" s="154"/>
      <c r="I785" s="99"/>
      <c r="K785" s="113"/>
      <c r="L785" s="154"/>
    </row>
    <row r="786">
      <c r="A786" s="113"/>
      <c r="B786" s="154"/>
      <c r="I786" s="99"/>
      <c r="K786" s="113"/>
      <c r="L786" s="154"/>
    </row>
    <row r="787">
      <c r="A787" s="113"/>
      <c r="B787" s="154"/>
      <c r="I787" s="99"/>
      <c r="K787" s="113"/>
      <c r="L787" s="154"/>
    </row>
    <row r="788">
      <c r="A788" s="113"/>
      <c r="B788" s="154"/>
      <c r="I788" s="99"/>
      <c r="K788" s="113"/>
      <c r="L788" s="154"/>
    </row>
    <row r="789">
      <c r="A789" s="113"/>
      <c r="B789" s="154"/>
      <c r="I789" s="99"/>
      <c r="K789" s="113"/>
      <c r="L789" s="154"/>
    </row>
    <row r="790">
      <c r="A790" s="113"/>
      <c r="B790" s="154"/>
      <c r="I790" s="99"/>
      <c r="K790" s="113"/>
      <c r="L790" s="154"/>
    </row>
    <row r="791">
      <c r="A791" s="113"/>
      <c r="B791" s="154"/>
      <c r="I791" s="99"/>
      <c r="K791" s="113"/>
      <c r="L791" s="154"/>
    </row>
    <row r="792">
      <c r="A792" s="113"/>
      <c r="B792" s="154"/>
      <c r="I792" s="99"/>
      <c r="K792" s="113"/>
      <c r="L792" s="154"/>
    </row>
    <row r="793">
      <c r="A793" s="113"/>
      <c r="B793" s="154"/>
      <c r="I793" s="99"/>
      <c r="K793" s="113"/>
      <c r="L793" s="154"/>
    </row>
    <row r="794">
      <c r="A794" s="113"/>
      <c r="B794" s="154"/>
      <c r="I794" s="99"/>
      <c r="K794" s="113"/>
      <c r="L794" s="154"/>
    </row>
    <row r="795">
      <c r="A795" s="113"/>
      <c r="B795" s="154"/>
      <c r="I795" s="99"/>
      <c r="K795" s="113"/>
      <c r="L795" s="154"/>
    </row>
    <row r="796">
      <c r="A796" s="113"/>
      <c r="B796" s="154"/>
      <c r="I796" s="99"/>
      <c r="K796" s="113"/>
      <c r="L796" s="154"/>
    </row>
    <row r="797">
      <c r="A797" s="113"/>
      <c r="B797" s="154"/>
      <c r="I797" s="99"/>
      <c r="K797" s="113"/>
      <c r="L797" s="154"/>
    </row>
    <row r="798">
      <c r="A798" s="113"/>
      <c r="B798" s="154"/>
      <c r="I798" s="99"/>
      <c r="K798" s="113"/>
      <c r="L798" s="154"/>
    </row>
    <row r="799">
      <c r="A799" s="113"/>
      <c r="B799" s="154"/>
      <c r="I799" s="99"/>
      <c r="K799" s="113"/>
      <c r="L799" s="154"/>
    </row>
    <row r="800">
      <c r="A800" s="113"/>
      <c r="B800" s="154"/>
      <c r="I800" s="99"/>
      <c r="K800" s="113"/>
      <c r="L800" s="154"/>
    </row>
    <row r="801">
      <c r="A801" s="113"/>
      <c r="B801" s="154"/>
      <c r="I801" s="99"/>
      <c r="K801" s="113"/>
      <c r="L801" s="154"/>
    </row>
    <row r="802">
      <c r="A802" s="113"/>
      <c r="B802" s="154"/>
      <c r="I802" s="99"/>
      <c r="K802" s="113"/>
      <c r="L802" s="154"/>
    </row>
    <row r="803">
      <c r="A803" s="113"/>
      <c r="B803" s="154"/>
      <c r="I803" s="99"/>
      <c r="K803" s="113"/>
      <c r="L803" s="154"/>
    </row>
    <row r="804">
      <c r="A804" s="113"/>
      <c r="B804" s="154"/>
      <c r="I804" s="99"/>
      <c r="K804" s="113"/>
      <c r="L804" s="154"/>
    </row>
    <row r="805">
      <c r="A805" s="113"/>
      <c r="B805" s="154"/>
      <c r="I805" s="99"/>
      <c r="K805" s="113"/>
      <c r="L805" s="154"/>
    </row>
    <row r="806">
      <c r="A806" s="113"/>
      <c r="B806" s="154"/>
      <c r="I806" s="99"/>
      <c r="K806" s="113"/>
      <c r="L806" s="154"/>
    </row>
    <row r="807">
      <c r="A807" s="113"/>
      <c r="B807" s="154"/>
      <c r="I807" s="99"/>
      <c r="K807" s="113"/>
      <c r="L807" s="154"/>
    </row>
    <row r="808">
      <c r="A808" s="113"/>
      <c r="B808" s="154"/>
      <c r="I808" s="99"/>
      <c r="K808" s="113"/>
      <c r="L808" s="154"/>
    </row>
    <row r="809">
      <c r="A809" s="113"/>
      <c r="B809" s="154"/>
      <c r="I809" s="99"/>
      <c r="K809" s="113"/>
      <c r="L809" s="154"/>
    </row>
    <row r="810">
      <c r="A810" s="113"/>
      <c r="B810" s="154"/>
      <c r="I810" s="99"/>
      <c r="K810" s="113"/>
      <c r="L810" s="154"/>
    </row>
    <row r="811">
      <c r="A811" s="113"/>
      <c r="B811" s="154"/>
      <c r="I811" s="99"/>
      <c r="K811" s="113"/>
      <c r="L811" s="154"/>
    </row>
    <row r="812">
      <c r="A812" s="113"/>
      <c r="B812" s="154"/>
      <c r="I812" s="99"/>
      <c r="K812" s="113"/>
      <c r="L812" s="154"/>
    </row>
    <row r="813">
      <c r="A813" s="113"/>
      <c r="B813" s="154"/>
      <c r="I813" s="99"/>
      <c r="K813" s="113"/>
      <c r="L813" s="154"/>
    </row>
    <row r="814">
      <c r="A814" s="113"/>
      <c r="B814" s="154"/>
      <c r="I814" s="99"/>
      <c r="K814" s="113"/>
      <c r="L814" s="154"/>
    </row>
    <row r="815">
      <c r="A815" s="113"/>
      <c r="B815" s="154"/>
      <c r="I815" s="99"/>
      <c r="K815" s="113"/>
      <c r="L815" s="154"/>
    </row>
    <row r="816">
      <c r="A816" s="113"/>
      <c r="B816" s="154"/>
      <c r="I816" s="99"/>
      <c r="K816" s="113"/>
      <c r="L816" s="154"/>
    </row>
    <row r="817">
      <c r="A817" s="113"/>
      <c r="B817" s="154"/>
      <c r="I817" s="99"/>
      <c r="K817" s="113"/>
      <c r="L817" s="154"/>
    </row>
    <row r="818">
      <c r="A818" s="113"/>
      <c r="B818" s="154"/>
      <c r="I818" s="99"/>
      <c r="K818" s="113"/>
      <c r="L818" s="154"/>
    </row>
    <row r="819">
      <c r="A819" s="113"/>
      <c r="B819" s="154"/>
      <c r="I819" s="99"/>
      <c r="K819" s="113"/>
      <c r="L819" s="154"/>
    </row>
    <row r="820">
      <c r="A820" s="113"/>
      <c r="B820" s="154"/>
      <c r="I820" s="99"/>
      <c r="K820" s="113"/>
      <c r="L820" s="154"/>
    </row>
    <row r="821">
      <c r="A821" s="113"/>
      <c r="B821" s="154"/>
      <c r="I821" s="99"/>
      <c r="K821" s="113"/>
      <c r="L821" s="154"/>
    </row>
    <row r="822">
      <c r="A822" s="113"/>
      <c r="B822" s="154"/>
      <c r="I822" s="99"/>
      <c r="K822" s="113"/>
      <c r="L822" s="154"/>
    </row>
    <row r="823">
      <c r="A823" s="113"/>
      <c r="B823" s="154"/>
      <c r="I823" s="99"/>
      <c r="K823" s="113"/>
      <c r="L823" s="154"/>
    </row>
    <row r="824">
      <c r="A824" s="113"/>
      <c r="B824" s="154"/>
      <c r="I824" s="99"/>
      <c r="K824" s="113"/>
      <c r="L824" s="154"/>
    </row>
    <row r="825">
      <c r="A825" s="113"/>
      <c r="B825" s="154"/>
      <c r="I825" s="99"/>
      <c r="K825" s="113"/>
      <c r="L825" s="154"/>
    </row>
    <row r="826">
      <c r="A826" s="113"/>
      <c r="B826" s="154"/>
      <c r="I826" s="99"/>
      <c r="K826" s="113"/>
      <c r="L826" s="154"/>
    </row>
    <row r="827">
      <c r="A827" s="113"/>
      <c r="B827" s="154"/>
      <c r="I827" s="99"/>
      <c r="K827" s="113"/>
      <c r="L827" s="154"/>
    </row>
    <row r="828">
      <c r="A828" s="113"/>
      <c r="B828" s="154"/>
      <c r="I828" s="99"/>
      <c r="K828" s="113"/>
      <c r="L828" s="154"/>
    </row>
    <row r="829">
      <c r="A829" s="113"/>
      <c r="B829" s="154"/>
      <c r="I829" s="99"/>
      <c r="K829" s="113"/>
      <c r="L829" s="154"/>
    </row>
    <row r="830">
      <c r="A830" s="113"/>
      <c r="B830" s="154"/>
      <c r="I830" s="99"/>
      <c r="K830" s="113"/>
      <c r="L830" s="154"/>
    </row>
    <row r="831">
      <c r="A831" s="113"/>
      <c r="B831" s="154"/>
      <c r="I831" s="99"/>
      <c r="K831" s="113"/>
      <c r="L831" s="154"/>
    </row>
    <row r="832">
      <c r="A832" s="113"/>
      <c r="B832" s="154"/>
      <c r="I832" s="99"/>
      <c r="K832" s="113"/>
      <c r="L832" s="154"/>
    </row>
    <row r="833">
      <c r="A833" s="113"/>
      <c r="B833" s="154"/>
      <c r="I833" s="99"/>
      <c r="K833" s="113"/>
      <c r="L833" s="154"/>
    </row>
    <row r="834">
      <c r="A834" s="113"/>
      <c r="B834" s="154"/>
      <c r="I834" s="99"/>
      <c r="K834" s="113"/>
      <c r="L834" s="154"/>
    </row>
    <row r="835">
      <c r="A835" s="113"/>
      <c r="B835" s="154"/>
      <c r="I835" s="99"/>
      <c r="K835" s="113"/>
      <c r="L835" s="154"/>
    </row>
    <row r="836">
      <c r="A836" s="113"/>
      <c r="B836" s="154"/>
      <c r="I836" s="99"/>
      <c r="K836" s="113"/>
      <c r="L836" s="154"/>
    </row>
    <row r="837">
      <c r="A837" s="113"/>
      <c r="B837" s="154"/>
      <c r="I837" s="99"/>
      <c r="K837" s="113"/>
      <c r="L837" s="154"/>
    </row>
    <row r="838">
      <c r="A838" s="113"/>
      <c r="B838" s="154"/>
      <c r="I838" s="99"/>
      <c r="K838" s="113"/>
      <c r="L838" s="154"/>
    </row>
    <row r="839">
      <c r="A839" s="113"/>
      <c r="B839" s="154"/>
      <c r="I839" s="99"/>
      <c r="K839" s="113"/>
      <c r="L839" s="154"/>
    </row>
    <row r="840">
      <c r="A840" s="113"/>
      <c r="B840" s="154"/>
      <c r="I840" s="99"/>
      <c r="K840" s="113"/>
      <c r="L840" s="154"/>
    </row>
    <row r="841">
      <c r="A841" s="113"/>
      <c r="B841" s="154"/>
      <c r="I841" s="99"/>
      <c r="K841" s="113"/>
      <c r="L841" s="154"/>
    </row>
    <row r="842">
      <c r="A842" s="113"/>
      <c r="B842" s="154"/>
      <c r="I842" s="99"/>
      <c r="K842" s="113"/>
      <c r="L842" s="154"/>
    </row>
    <row r="843">
      <c r="A843" s="113"/>
      <c r="B843" s="154"/>
      <c r="I843" s="99"/>
      <c r="K843" s="113"/>
      <c r="L843" s="154"/>
    </row>
    <row r="844">
      <c r="A844" s="113"/>
      <c r="B844" s="154"/>
      <c r="I844" s="99"/>
      <c r="K844" s="113"/>
      <c r="L844" s="154"/>
    </row>
    <row r="845">
      <c r="A845" s="113"/>
      <c r="B845" s="154"/>
      <c r="I845" s="99"/>
      <c r="K845" s="113"/>
      <c r="L845" s="154"/>
    </row>
    <row r="846">
      <c r="A846" s="113"/>
      <c r="B846" s="154"/>
      <c r="I846" s="99"/>
      <c r="K846" s="113"/>
      <c r="L846" s="154"/>
    </row>
    <row r="847">
      <c r="A847" s="113"/>
      <c r="B847" s="154"/>
      <c r="I847" s="99"/>
      <c r="K847" s="113"/>
      <c r="L847" s="154"/>
    </row>
    <row r="848">
      <c r="A848" s="113"/>
      <c r="B848" s="154"/>
      <c r="I848" s="99"/>
      <c r="K848" s="113"/>
      <c r="L848" s="154"/>
    </row>
    <row r="849">
      <c r="A849" s="113"/>
      <c r="B849" s="154"/>
      <c r="I849" s="99"/>
      <c r="K849" s="113"/>
      <c r="L849" s="154"/>
    </row>
    <row r="850">
      <c r="A850" s="113"/>
      <c r="B850" s="154"/>
      <c r="I850" s="99"/>
      <c r="K850" s="113"/>
      <c r="L850" s="154"/>
    </row>
    <row r="851">
      <c r="A851" s="113"/>
      <c r="B851" s="154"/>
      <c r="I851" s="99"/>
      <c r="K851" s="113"/>
      <c r="L851" s="154"/>
    </row>
    <row r="852">
      <c r="A852" s="113"/>
      <c r="B852" s="154"/>
      <c r="I852" s="99"/>
      <c r="K852" s="113"/>
      <c r="L852" s="154"/>
    </row>
    <row r="853">
      <c r="A853" s="113"/>
      <c r="B853" s="154"/>
      <c r="I853" s="99"/>
      <c r="K853" s="113"/>
      <c r="L853" s="154"/>
    </row>
    <row r="854">
      <c r="A854" s="113"/>
      <c r="B854" s="154"/>
      <c r="I854" s="99"/>
      <c r="K854" s="113"/>
      <c r="L854" s="154"/>
    </row>
    <row r="855">
      <c r="A855" s="113"/>
      <c r="B855" s="154"/>
      <c r="I855" s="99"/>
      <c r="K855" s="113"/>
      <c r="L855" s="154"/>
    </row>
    <row r="856">
      <c r="A856" s="113"/>
      <c r="B856" s="154"/>
      <c r="I856" s="99"/>
      <c r="K856" s="113"/>
      <c r="L856" s="154"/>
    </row>
    <row r="857">
      <c r="A857" s="113"/>
      <c r="B857" s="154"/>
      <c r="I857" s="99"/>
      <c r="K857" s="113"/>
      <c r="L857" s="154"/>
    </row>
    <row r="858">
      <c r="A858" s="113"/>
      <c r="B858" s="154"/>
      <c r="I858" s="99"/>
      <c r="K858" s="113"/>
      <c r="L858" s="154"/>
    </row>
    <row r="859">
      <c r="A859" s="113"/>
      <c r="B859" s="154"/>
      <c r="I859" s="99"/>
      <c r="K859" s="113"/>
      <c r="L859" s="154"/>
    </row>
    <row r="860">
      <c r="A860" s="113"/>
      <c r="B860" s="154"/>
      <c r="I860" s="99"/>
      <c r="K860" s="113"/>
      <c r="L860" s="154"/>
    </row>
    <row r="861">
      <c r="A861" s="113"/>
      <c r="B861" s="154"/>
      <c r="I861" s="99"/>
      <c r="K861" s="113"/>
      <c r="L861" s="154"/>
    </row>
    <row r="862">
      <c r="A862" s="113"/>
      <c r="B862" s="154"/>
      <c r="I862" s="99"/>
      <c r="K862" s="113"/>
      <c r="L862" s="154"/>
    </row>
    <row r="863">
      <c r="A863" s="113"/>
      <c r="B863" s="154"/>
      <c r="I863" s="99"/>
      <c r="K863" s="113"/>
      <c r="L863" s="154"/>
    </row>
    <row r="864">
      <c r="A864" s="113"/>
      <c r="B864" s="154"/>
      <c r="I864" s="99"/>
      <c r="K864" s="113"/>
      <c r="L864" s="154"/>
    </row>
    <row r="865">
      <c r="A865" s="113"/>
      <c r="B865" s="154"/>
      <c r="I865" s="99"/>
      <c r="K865" s="113"/>
      <c r="L865" s="154"/>
    </row>
    <row r="866">
      <c r="A866" s="113"/>
      <c r="B866" s="154"/>
      <c r="I866" s="99"/>
      <c r="K866" s="113"/>
      <c r="L866" s="154"/>
    </row>
    <row r="867">
      <c r="A867" s="113"/>
      <c r="B867" s="154"/>
      <c r="I867" s="99"/>
      <c r="K867" s="113"/>
      <c r="L867" s="154"/>
    </row>
    <row r="868">
      <c r="A868" s="113"/>
      <c r="B868" s="154"/>
      <c r="I868" s="99"/>
      <c r="K868" s="113"/>
      <c r="L868" s="154"/>
    </row>
    <row r="869">
      <c r="A869" s="113"/>
      <c r="B869" s="154"/>
      <c r="I869" s="99"/>
      <c r="K869" s="113"/>
      <c r="L869" s="154"/>
    </row>
    <row r="870">
      <c r="A870" s="113"/>
      <c r="B870" s="154"/>
      <c r="I870" s="99"/>
      <c r="K870" s="113"/>
      <c r="L870" s="154"/>
    </row>
    <row r="871">
      <c r="A871" s="113"/>
      <c r="B871" s="154"/>
      <c r="I871" s="99"/>
      <c r="K871" s="113"/>
      <c r="L871" s="154"/>
    </row>
    <row r="872">
      <c r="A872" s="113"/>
      <c r="B872" s="154"/>
      <c r="I872" s="99"/>
      <c r="K872" s="113"/>
      <c r="L872" s="154"/>
    </row>
    <row r="873">
      <c r="A873" s="113"/>
      <c r="B873" s="154"/>
      <c r="I873" s="99"/>
      <c r="K873" s="113"/>
      <c r="L873" s="154"/>
    </row>
    <row r="874">
      <c r="A874" s="113"/>
      <c r="B874" s="154"/>
      <c r="I874" s="99"/>
      <c r="K874" s="113"/>
      <c r="L874" s="154"/>
    </row>
    <row r="875">
      <c r="A875" s="113"/>
      <c r="B875" s="154"/>
      <c r="I875" s="99"/>
      <c r="K875" s="113"/>
      <c r="L875" s="154"/>
    </row>
    <row r="876">
      <c r="A876" s="113"/>
      <c r="B876" s="154"/>
      <c r="I876" s="99"/>
      <c r="K876" s="113"/>
      <c r="L876" s="154"/>
    </row>
    <row r="877">
      <c r="A877" s="113"/>
      <c r="B877" s="154"/>
      <c r="I877" s="99"/>
      <c r="K877" s="113"/>
      <c r="L877" s="154"/>
    </row>
    <row r="878">
      <c r="A878" s="113"/>
      <c r="B878" s="154"/>
      <c r="I878" s="99"/>
      <c r="K878" s="113"/>
      <c r="L878" s="154"/>
    </row>
    <row r="879">
      <c r="A879" s="113"/>
      <c r="B879" s="154"/>
      <c r="I879" s="99"/>
      <c r="K879" s="113"/>
      <c r="L879" s="154"/>
    </row>
    <row r="880">
      <c r="A880" s="113"/>
      <c r="B880" s="154"/>
      <c r="I880" s="99"/>
      <c r="K880" s="113"/>
      <c r="L880" s="154"/>
    </row>
    <row r="881">
      <c r="A881" s="113"/>
      <c r="B881" s="154"/>
      <c r="I881" s="99"/>
      <c r="K881" s="113"/>
      <c r="L881" s="154"/>
    </row>
    <row r="882">
      <c r="A882" s="113"/>
      <c r="B882" s="154"/>
      <c r="I882" s="99"/>
      <c r="K882" s="113"/>
      <c r="L882" s="154"/>
    </row>
    <row r="883">
      <c r="A883" s="113"/>
      <c r="B883" s="154"/>
      <c r="I883" s="99"/>
      <c r="K883" s="113"/>
      <c r="L883" s="154"/>
    </row>
    <row r="884">
      <c r="A884" s="113"/>
      <c r="B884" s="154"/>
      <c r="I884" s="99"/>
      <c r="K884" s="113"/>
      <c r="L884" s="154"/>
    </row>
    <row r="885">
      <c r="A885" s="113"/>
      <c r="B885" s="154"/>
      <c r="I885" s="99"/>
      <c r="K885" s="113"/>
      <c r="L885" s="154"/>
    </row>
    <row r="886">
      <c r="A886" s="113"/>
      <c r="B886" s="154"/>
      <c r="I886" s="99"/>
      <c r="K886" s="113"/>
      <c r="L886" s="154"/>
    </row>
    <row r="887">
      <c r="A887" s="113"/>
      <c r="B887" s="154"/>
      <c r="I887" s="99"/>
      <c r="K887" s="113"/>
      <c r="L887" s="154"/>
    </row>
    <row r="888">
      <c r="A888" s="113"/>
      <c r="B888" s="154"/>
      <c r="I888" s="99"/>
      <c r="K888" s="113"/>
      <c r="L888" s="154"/>
    </row>
    <row r="889">
      <c r="A889" s="113"/>
      <c r="B889" s="154"/>
      <c r="I889" s="99"/>
      <c r="K889" s="113"/>
      <c r="L889" s="154"/>
    </row>
    <row r="890">
      <c r="A890" s="113"/>
      <c r="B890" s="154"/>
      <c r="I890" s="99"/>
      <c r="K890" s="113"/>
      <c r="L890" s="154"/>
    </row>
    <row r="891">
      <c r="A891" s="113"/>
      <c r="B891" s="154"/>
      <c r="I891" s="99"/>
      <c r="K891" s="113"/>
      <c r="L891" s="154"/>
    </row>
    <row r="892">
      <c r="A892" s="113"/>
      <c r="B892" s="154"/>
      <c r="I892" s="99"/>
      <c r="K892" s="113"/>
      <c r="L892" s="154"/>
    </row>
    <row r="893">
      <c r="A893" s="113"/>
      <c r="B893" s="154"/>
      <c r="I893" s="99"/>
      <c r="K893" s="113"/>
      <c r="L893" s="154"/>
    </row>
    <row r="894">
      <c r="A894" s="113"/>
      <c r="B894" s="154"/>
      <c r="I894" s="99"/>
      <c r="K894" s="113"/>
      <c r="L894" s="154"/>
    </row>
    <row r="895">
      <c r="A895" s="113"/>
      <c r="B895" s="154"/>
      <c r="I895" s="99"/>
      <c r="K895" s="113"/>
      <c r="L895" s="154"/>
    </row>
    <row r="896">
      <c r="A896" s="113"/>
      <c r="B896" s="154"/>
      <c r="I896" s="99"/>
      <c r="K896" s="113"/>
      <c r="L896" s="154"/>
    </row>
    <row r="897">
      <c r="A897" s="113"/>
      <c r="B897" s="154"/>
      <c r="I897" s="99"/>
      <c r="K897" s="113"/>
      <c r="L897" s="154"/>
    </row>
    <row r="898">
      <c r="A898" s="113"/>
      <c r="B898" s="154"/>
      <c r="I898" s="99"/>
      <c r="K898" s="113"/>
      <c r="L898" s="154"/>
    </row>
    <row r="899">
      <c r="A899" s="113"/>
      <c r="B899" s="154"/>
      <c r="I899" s="99"/>
      <c r="K899" s="113"/>
      <c r="L899" s="154"/>
    </row>
    <row r="900">
      <c r="A900" s="113"/>
      <c r="B900" s="154"/>
      <c r="I900" s="99"/>
      <c r="K900" s="113"/>
      <c r="L900" s="154"/>
    </row>
    <row r="901">
      <c r="A901" s="113"/>
      <c r="B901" s="154"/>
      <c r="I901" s="99"/>
      <c r="K901" s="113"/>
      <c r="L901" s="154"/>
    </row>
    <row r="902">
      <c r="A902" s="113"/>
      <c r="B902" s="154"/>
      <c r="I902" s="99"/>
      <c r="K902" s="113"/>
      <c r="L902" s="154"/>
    </row>
    <row r="903">
      <c r="A903" s="113"/>
      <c r="B903" s="154"/>
      <c r="I903" s="99"/>
      <c r="K903" s="113"/>
      <c r="L903" s="154"/>
    </row>
    <row r="904">
      <c r="A904" s="113"/>
      <c r="B904" s="154"/>
      <c r="I904" s="99"/>
      <c r="K904" s="113"/>
      <c r="L904" s="154"/>
    </row>
    <row r="905">
      <c r="A905" s="113"/>
      <c r="B905" s="154"/>
      <c r="I905" s="99"/>
      <c r="K905" s="113"/>
      <c r="L905" s="154"/>
    </row>
    <row r="906">
      <c r="A906" s="113"/>
      <c r="B906" s="154"/>
      <c r="I906" s="99"/>
      <c r="K906" s="113"/>
      <c r="L906" s="154"/>
    </row>
    <row r="907">
      <c r="A907" s="113"/>
      <c r="B907" s="154"/>
      <c r="I907" s="99"/>
      <c r="K907" s="113"/>
      <c r="L907" s="154"/>
    </row>
    <row r="908">
      <c r="A908" s="113"/>
      <c r="B908" s="154"/>
      <c r="I908" s="99"/>
      <c r="K908" s="113"/>
      <c r="L908" s="154"/>
    </row>
    <row r="909">
      <c r="A909" s="113"/>
      <c r="B909" s="154"/>
      <c r="I909" s="99"/>
      <c r="K909" s="113"/>
      <c r="L909" s="154"/>
    </row>
    <row r="910">
      <c r="A910" s="113"/>
      <c r="B910" s="154"/>
      <c r="I910" s="99"/>
      <c r="K910" s="113"/>
      <c r="L910" s="154"/>
    </row>
    <row r="911">
      <c r="A911" s="113"/>
      <c r="B911" s="154"/>
      <c r="I911" s="99"/>
      <c r="K911" s="113"/>
      <c r="L911" s="154"/>
    </row>
    <row r="912">
      <c r="A912" s="113"/>
      <c r="B912" s="154"/>
      <c r="I912" s="99"/>
      <c r="K912" s="113"/>
      <c r="L912" s="154"/>
    </row>
    <row r="913">
      <c r="A913" s="113"/>
      <c r="B913" s="154"/>
      <c r="I913" s="99"/>
      <c r="K913" s="113"/>
      <c r="L913" s="154"/>
    </row>
    <row r="914">
      <c r="A914" s="113"/>
      <c r="B914" s="154"/>
      <c r="I914" s="99"/>
      <c r="K914" s="113"/>
      <c r="L914" s="154"/>
    </row>
    <row r="915">
      <c r="A915" s="113"/>
      <c r="B915" s="154"/>
      <c r="I915" s="99"/>
      <c r="K915" s="113"/>
      <c r="L915" s="154"/>
    </row>
    <row r="916">
      <c r="A916" s="113"/>
      <c r="B916" s="154"/>
      <c r="I916" s="99"/>
      <c r="K916" s="113"/>
      <c r="L916" s="154"/>
    </row>
    <row r="917">
      <c r="A917" s="113"/>
      <c r="B917" s="154"/>
      <c r="I917" s="99"/>
      <c r="K917" s="113"/>
      <c r="L917" s="154"/>
    </row>
    <row r="918">
      <c r="A918" s="113"/>
      <c r="B918" s="154"/>
      <c r="I918" s="99"/>
      <c r="K918" s="113"/>
      <c r="L918" s="154"/>
    </row>
    <row r="919">
      <c r="A919" s="113"/>
      <c r="B919" s="154"/>
      <c r="I919" s="99"/>
      <c r="K919" s="113"/>
      <c r="L919" s="154"/>
    </row>
    <row r="920">
      <c r="A920" s="113"/>
      <c r="B920" s="154"/>
      <c r="I920" s="99"/>
      <c r="K920" s="113"/>
      <c r="L920" s="154"/>
    </row>
    <row r="921">
      <c r="A921" s="113"/>
      <c r="B921" s="154"/>
      <c r="I921" s="99"/>
      <c r="K921" s="113"/>
      <c r="L921" s="154"/>
    </row>
    <row r="922">
      <c r="A922" s="113"/>
      <c r="B922" s="154"/>
      <c r="I922" s="99"/>
      <c r="K922" s="113"/>
      <c r="L922" s="154"/>
    </row>
    <row r="923">
      <c r="A923" s="113"/>
      <c r="B923" s="154"/>
      <c r="I923" s="99"/>
      <c r="K923" s="113"/>
      <c r="L923" s="154"/>
    </row>
    <row r="924">
      <c r="A924" s="113"/>
      <c r="B924" s="154"/>
      <c r="I924" s="99"/>
      <c r="K924" s="113"/>
      <c r="L924" s="154"/>
    </row>
    <row r="925">
      <c r="A925" s="113"/>
      <c r="B925" s="154"/>
      <c r="I925" s="99"/>
      <c r="K925" s="113"/>
      <c r="L925" s="154"/>
    </row>
    <row r="926">
      <c r="A926" s="113"/>
      <c r="B926" s="154"/>
      <c r="I926" s="99"/>
      <c r="K926" s="113"/>
      <c r="L926" s="154"/>
    </row>
    <row r="927">
      <c r="A927" s="113"/>
      <c r="B927" s="154"/>
      <c r="I927" s="99"/>
      <c r="K927" s="113"/>
      <c r="L927" s="154"/>
    </row>
    <row r="928">
      <c r="A928" s="113"/>
      <c r="B928" s="154"/>
      <c r="I928" s="99"/>
      <c r="K928" s="113"/>
      <c r="L928" s="154"/>
    </row>
    <row r="929">
      <c r="A929" s="113"/>
      <c r="B929" s="154"/>
      <c r="I929" s="99"/>
      <c r="K929" s="113"/>
      <c r="L929" s="154"/>
    </row>
    <row r="930">
      <c r="A930" s="113"/>
      <c r="B930" s="154"/>
      <c r="I930" s="99"/>
      <c r="K930" s="113"/>
      <c r="L930" s="154"/>
    </row>
    <row r="931">
      <c r="A931" s="113"/>
      <c r="B931" s="154"/>
      <c r="I931" s="99"/>
      <c r="K931" s="113"/>
      <c r="L931" s="154"/>
    </row>
    <row r="932">
      <c r="A932" s="113"/>
      <c r="B932" s="154"/>
      <c r="I932" s="99"/>
      <c r="K932" s="113"/>
      <c r="L932" s="154"/>
    </row>
    <row r="933">
      <c r="A933" s="113"/>
      <c r="B933" s="154"/>
      <c r="I933" s="99"/>
      <c r="K933" s="113"/>
      <c r="L933" s="154"/>
    </row>
    <row r="934">
      <c r="A934" s="113"/>
      <c r="B934" s="154"/>
      <c r="I934" s="99"/>
      <c r="K934" s="113"/>
      <c r="L934" s="154"/>
    </row>
    <row r="935">
      <c r="A935" s="113"/>
      <c r="B935" s="154"/>
      <c r="I935" s="99"/>
      <c r="K935" s="113"/>
      <c r="L935" s="154"/>
    </row>
    <row r="936">
      <c r="A936" s="113"/>
      <c r="B936" s="154"/>
      <c r="I936" s="99"/>
      <c r="K936" s="113"/>
      <c r="L936" s="154"/>
    </row>
    <row r="937">
      <c r="A937" s="113"/>
      <c r="B937" s="154"/>
      <c r="I937" s="99"/>
      <c r="K937" s="113"/>
      <c r="L937" s="154"/>
    </row>
    <row r="938">
      <c r="A938" s="113"/>
      <c r="B938" s="154"/>
      <c r="I938" s="99"/>
      <c r="K938" s="113"/>
      <c r="L938" s="154"/>
    </row>
    <row r="939">
      <c r="A939" s="113"/>
      <c r="B939" s="154"/>
      <c r="I939" s="99"/>
      <c r="K939" s="113"/>
      <c r="L939" s="154"/>
    </row>
    <row r="940">
      <c r="A940" s="113"/>
      <c r="B940" s="154"/>
      <c r="I940" s="99"/>
      <c r="K940" s="113"/>
      <c r="L940" s="154"/>
    </row>
    <row r="941">
      <c r="A941" s="113"/>
      <c r="B941" s="154"/>
      <c r="I941" s="99"/>
      <c r="K941" s="113"/>
      <c r="L941" s="154"/>
    </row>
    <row r="942">
      <c r="A942" s="113"/>
      <c r="B942" s="154"/>
      <c r="I942" s="99"/>
      <c r="K942" s="113"/>
      <c r="L942" s="154"/>
    </row>
    <row r="943">
      <c r="A943" s="113"/>
      <c r="B943" s="154"/>
      <c r="I943" s="99"/>
      <c r="K943" s="113"/>
      <c r="L943" s="154"/>
    </row>
    <row r="944">
      <c r="A944" s="113"/>
      <c r="B944" s="154"/>
      <c r="I944" s="99"/>
      <c r="K944" s="113"/>
      <c r="L944" s="154"/>
    </row>
    <row r="945">
      <c r="A945" s="113"/>
      <c r="B945" s="154"/>
      <c r="I945" s="99"/>
      <c r="K945" s="113"/>
      <c r="L945" s="154"/>
    </row>
    <row r="946">
      <c r="A946" s="113"/>
      <c r="B946" s="154"/>
      <c r="I946" s="99"/>
      <c r="K946" s="113"/>
      <c r="L946" s="154"/>
    </row>
    <row r="947">
      <c r="A947" s="113"/>
      <c r="B947" s="154"/>
      <c r="I947" s="99"/>
      <c r="K947" s="113"/>
      <c r="L947" s="154"/>
    </row>
    <row r="948">
      <c r="A948" s="113"/>
      <c r="B948" s="154"/>
      <c r="I948" s="99"/>
      <c r="K948" s="113"/>
      <c r="L948" s="154"/>
    </row>
    <row r="949">
      <c r="A949" s="113"/>
      <c r="B949" s="154"/>
      <c r="I949" s="99"/>
      <c r="K949" s="113"/>
      <c r="L949" s="154"/>
    </row>
    <row r="950">
      <c r="A950" s="113"/>
      <c r="B950" s="154"/>
      <c r="I950" s="99"/>
      <c r="K950" s="113"/>
      <c r="L950" s="154"/>
    </row>
    <row r="951">
      <c r="A951" s="113"/>
      <c r="B951" s="154"/>
      <c r="I951" s="99"/>
      <c r="K951" s="113"/>
      <c r="L951" s="154"/>
    </row>
    <row r="952">
      <c r="A952" s="113"/>
      <c r="B952" s="154"/>
      <c r="I952" s="99"/>
      <c r="K952" s="113"/>
      <c r="L952" s="154"/>
    </row>
    <row r="953">
      <c r="A953" s="113"/>
      <c r="B953" s="154"/>
      <c r="I953" s="99"/>
      <c r="K953" s="113"/>
      <c r="L953" s="154"/>
    </row>
    <row r="954">
      <c r="A954" s="113"/>
      <c r="B954" s="154"/>
      <c r="I954" s="99"/>
      <c r="K954" s="113"/>
      <c r="L954" s="154"/>
    </row>
    <row r="955">
      <c r="A955" s="113"/>
      <c r="B955" s="154"/>
      <c r="I955" s="99"/>
      <c r="K955" s="113"/>
      <c r="L955" s="154"/>
    </row>
    <row r="956">
      <c r="A956" s="113"/>
      <c r="B956" s="154"/>
      <c r="I956" s="99"/>
      <c r="K956" s="113"/>
      <c r="L956" s="154"/>
    </row>
    <row r="957">
      <c r="A957" s="113"/>
      <c r="B957" s="154"/>
      <c r="I957" s="99"/>
      <c r="K957" s="113"/>
      <c r="L957" s="154"/>
    </row>
    <row r="958">
      <c r="A958" s="113"/>
      <c r="B958" s="154"/>
      <c r="I958" s="99"/>
      <c r="K958" s="113"/>
      <c r="L958" s="154"/>
    </row>
    <row r="959">
      <c r="A959" s="113"/>
      <c r="B959" s="154"/>
      <c r="I959" s="99"/>
      <c r="K959" s="113"/>
      <c r="L959" s="154"/>
    </row>
    <row r="960">
      <c r="A960" s="113"/>
      <c r="B960" s="154"/>
      <c r="I960" s="99"/>
      <c r="K960" s="113"/>
      <c r="L960" s="154"/>
    </row>
    <row r="961">
      <c r="A961" s="113"/>
      <c r="B961" s="154"/>
      <c r="I961" s="99"/>
      <c r="K961" s="113"/>
      <c r="L961" s="154"/>
    </row>
    <row r="962">
      <c r="A962" s="113"/>
      <c r="B962" s="154"/>
      <c r="I962" s="99"/>
      <c r="K962" s="113"/>
      <c r="L962" s="154"/>
    </row>
    <row r="963">
      <c r="A963" s="113"/>
      <c r="B963" s="154"/>
      <c r="I963" s="99"/>
      <c r="K963" s="113"/>
      <c r="L963" s="154"/>
    </row>
    <row r="964">
      <c r="A964" s="113"/>
      <c r="B964" s="154"/>
      <c r="I964" s="99"/>
      <c r="K964" s="113"/>
      <c r="L964" s="154"/>
    </row>
    <row r="965">
      <c r="A965" s="113"/>
      <c r="B965" s="154"/>
      <c r="I965" s="99"/>
      <c r="K965" s="113"/>
      <c r="L965" s="154"/>
    </row>
    <row r="966">
      <c r="A966" s="113"/>
      <c r="B966" s="154"/>
      <c r="I966" s="99"/>
      <c r="K966" s="113"/>
      <c r="L966" s="154"/>
    </row>
    <row r="967">
      <c r="A967" s="113"/>
      <c r="B967" s="154"/>
      <c r="I967" s="99"/>
      <c r="K967" s="113"/>
      <c r="L967" s="154"/>
    </row>
    <row r="968">
      <c r="A968" s="113"/>
      <c r="B968" s="154"/>
      <c r="I968" s="99"/>
      <c r="K968" s="113"/>
      <c r="L968" s="154"/>
    </row>
    <row r="969">
      <c r="A969" s="113"/>
      <c r="B969" s="154"/>
      <c r="I969" s="99"/>
      <c r="K969" s="113"/>
      <c r="L969" s="154"/>
    </row>
  </sheetData>
  <hyperlinks>
    <hyperlink r:id="rId4" ref="E5"/>
    <hyperlink r:id="rId5" ref="O5"/>
    <hyperlink r:id="rId6" ref="E6"/>
    <hyperlink r:id="rId7" ref="O6"/>
    <hyperlink r:id="rId8" ref="E7"/>
    <hyperlink r:id="rId9" ref="O7"/>
    <hyperlink r:id="rId10" ref="E8"/>
    <hyperlink r:id="rId11" ref="O8"/>
    <hyperlink r:id="rId12" ref="E9"/>
    <hyperlink r:id="rId13" ref="O9"/>
    <hyperlink r:id="rId14" ref="D10"/>
    <hyperlink r:id="rId15" ref="O10"/>
    <hyperlink r:id="rId16" ref="O11"/>
    <hyperlink r:id="rId17" ref="E16"/>
    <hyperlink r:id="rId18" ref="O16"/>
    <hyperlink r:id="rId19" ref="E17"/>
    <hyperlink r:id="rId20" ref="O17"/>
    <hyperlink r:id="rId21" ref="E18"/>
    <hyperlink r:id="rId22" ref="O18"/>
    <hyperlink r:id="rId23" ref="O19"/>
    <hyperlink r:id="rId24" ref="D20"/>
    <hyperlink r:id="rId25" ref="O20"/>
    <hyperlink r:id="rId26" ref="O21"/>
    <hyperlink r:id="rId27" ref="O22"/>
    <hyperlink r:id="rId28" ref="O23"/>
    <hyperlink r:id="rId29" ref="D27"/>
    <hyperlink r:id="rId30" ref="E27"/>
    <hyperlink r:id="rId31" ref="O27"/>
    <hyperlink r:id="rId32" ref="D28"/>
    <hyperlink r:id="rId33" ref="E28"/>
    <hyperlink r:id="rId34" ref="O28"/>
    <hyperlink r:id="rId35" ref="D29"/>
    <hyperlink r:id="rId36" ref="E29"/>
    <hyperlink r:id="rId37" ref="O29"/>
    <hyperlink r:id="rId38" ref="D30"/>
    <hyperlink r:id="rId39" ref="E30"/>
    <hyperlink r:id="rId40" ref="O30"/>
    <hyperlink r:id="rId41" ref="D31"/>
    <hyperlink r:id="rId42" ref="E31"/>
    <hyperlink r:id="rId43" ref="O31"/>
    <hyperlink r:id="rId44" ref="D32"/>
    <hyperlink r:id="rId45" ref="E32"/>
    <hyperlink r:id="rId46" ref="O32"/>
    <hyperlink r:id="rId47" ref="D33"/>
    <hyperlink r:id="rId48" ref="D34"/>
    <hyperlink r:id="rId49" ref="E38"/>
    <hyperlink r:id="rId50" ref="O38"/>
    <hyperlink r:id="rId51" ref="O39"/>
    <hyperlink r:id="rId52" ref="E40"/>
    <hyperlink r:id="rId53" ref="O40"/>
    <hyperlink r:id="rId54" ref="E41"/>
    <hyperlink r:id="rId55" ref="O41"/>
    <hyperlink r:id="rId56" ref="O42"/>
    <hyperlink r:id="rId57" ref="O43"/>
    <hyperlink r:id="rId58" ref="E44"/>
    <hyperlink r:id="rId59" ref="E49"/>
    <hyperlink r:id="rId60" ref="O49"/>
    <hyperlink r:id="rId61" ref="E50"/>
    <hyperlink r:id="rId62" ref="O50"/>
    <hyperlink r:id="rId63" ref="E51"/>
    <hyperlink r:id="rId64" ref="O51"/>
    <hyperlink r:id="rId65" ref="E52"/>
    <hyperlink r:id="rId66" ref="O52"/>
    <hyperlink r:id="rId67" ref="E53"/>
    <hyperlink r:id="rId68" ref="E54"/>
    <hyperlink r:id="rId69" ref="O54"/>
    <hyperlink r:id="rId70" ref="E55"/>
    <hyperlink r:id="rId71" ref="E56"/>
    <hyperlink r:id="rId72" ref="D60"/>
    <hyperlink r:id="rId73" ref="E60"/>
    <hyperlink r:id="rId74" ref="O60"/>
    <hyperlink r:id="rId75" ref="E61"/>
    <hyperlink r:id="rId76" ref="O61"/>
    <hyperlink r:id="rId77" ref="E62"/>
    <hyperlink r:id="rId78" ref="O62"/>
    <hyperlink r:id="rId79" ref="E63"/>
    <hyperlink r:id="rId80" ref="O63"/>
    <hyperlink r:id="rId81" ref="D64"/>
    <hyperlink r:id="rId82" ref="E64"/>
    <hyperlink r:id="rId83" ref="O64"/>
    <hyperlink r:id="rId84" ref="E65"/>
    <hyperlink r:id="rId85" ref="O65"/>
    <hyperlink r:id="rId86" ref="E66"/>
    <hyperlink r:id="rId87" ref="E71"/>
    <hyperlink r:id="rId88" ref="O71"/>
    <hyperlink r:id="rId89" ref="E72"/>
    <hyperlink r:id="rId90" ref="O72"/>
    <hyperlink r:id="rId91" ref="E73"/>
    <hyperlink r:id="rId92" ref="O73"/>
    <hyperlink r:id="rId93" ref="E74"/>
    <hyperlink r:id="rId94" ref="O74"/>
    <hyperlink r:id="rId95" ref="E75"/>
    <hyperlink r:id="rId96" ref="O75"/>
    <hyperlink r:id="rId97" ref="E76"/>
    <hyperlink r:id="rId98" ref="O76"/>
    <hyperlink r:id="rId99" ref="E77"/>
    <hyperlink r:id="rId100" ref="E82"/>
    <hyperlink r:id="rId101" ref="O82"/>
    <hyperlink r:id="rId102" ref="E83"/>
    <hyperlink r:id="rId103" ref="O83"/>
    <hyperlink r:id="rId104" ref="E84"/>
    <hyperlink r:id="rId105" ref="O84"/>
    <hyperlink r:id="rId106" ref="E85"/>
    <hyperlink r:id="rId107" ref="O85"/>
    <hyperlink r:id="rId108" ref="E86"/>
    <hyperlink r:id="rId109" ref="O86"/>
    <hyperlink r:id="rId110" ref="E87"/>
    <hyperlink r:id="rId111" ref="O87"/>
    <hyperlink r:id="rId112" ref="E88"/>
    <hyperlink r:id="rId113" ref="E89"/>
    <hyperlink r:id="rId114" ref="O93"/>
    <hyperlink r:id="rId115" ref="E94"/>
    <hyperlink r:id="rId116" ref="O94"/>
    <hyperlink r:id="rId117" ref="E95"/>
    <hyperlink r:id="rId118" ref="O95"/>
    <hyperlink r:id="rId119" ref="E96"/>
    <hyperlink r:id="rId120" ref="O96"/>
    <hyperlink r:id="rId121" ref="E97"/>
    <hyperlink r:id="rId122" ref="O97"/>
    <hyperlink r:id="rId123" ref="D98"/>
    <hyperlink r:id="rId124" ref="E98"/>
    <hyperlink r:id="rId125" ref="O98"/>
    <hyperlink r:id="rId126" ref="O99"/>
    <hyperlink r:id="rId127" ref="E104"/>
    <hyperlink r:id="rId128" ref="O104"/>
    <hyperlink r:id="rId129" ref="E105"/>
    <hyperlink r:id="rId130" ref="O105"/>
    <hyperlink r:id="rId131" ref="E106"/>
    <hyperlink r:id="rId132" ref="O106"/>
    <hyperlink r:id="rId133" ref="E107"/>
    <hyperlink r:id="rId134" ref="O107"/>
    <hyperlink r:id="rId135" ref="E108"/>
    <hyperlink r:id="rId136" ref="O108"/>
    <hyperlink r:id="rId137" ref="E109"/>
    <hyperlink r:id="rId138" ref="E110"/>
    <hyperlink r:id="rId139" ref="E115"/>
    <hyperlink r:id="rId140" ref="O115"/>
    <hyperlink r:id="rId141" ref="E116"/>
    <hyperlink r:id="rId142" ref="O116"/>
    <hyperlink r:id="rId143" ref="E117"/>
    <hyperlink r:id="rId144" ref="O117"/>
    <hyperlink r:id="rId145" ref="E118"/>
    <hyperlink r:id="rId146" ref="O118"/>
    <hyperlink r:id="rId147" ref="E119"/>
    <hyperlink r:id="rId148" ref="O119"/>
    <hyperlink r:id="rId149" ref="O120"/>
    <hyperlink r:id="rId150" ref="O125"/>
    <hyperlink r:id="rId151" ref="E126"/>
    <hyperlink r:id="rId152" ref="O126"/>
    <hyperlink r:id="rId153" ref="E127"/>
    <hyperlink r:id="rId154" ref="O127"/>
    <hyperlink r:id="rId155" ref="E128"/>
    <hyperlink r:id="rId156" ref="O128"/>
    <hyperlink r:id="rId157" ref="E129"/>
    <hyperlink r:id="rId158" ref="O129"/>
    <hyperlink r:id="rId159" ref="E130"/>
    <hyperlink r:id="rId160" ref="O130"/>
    <hyperlink r:id="rId161" ref="N131"/>
    <hyperlink r:id="rId162" ref="O131"/>
    <hyperlink r:id="rId163" ref="E137"/>
    <hyperlink r:id="rId164" ref="O137"/>
    <hyperlink r:id="rId165" ref="E138"/>
    <hyperlink r:id="rId166" ref="O138"/>
    <hyperlink r:id="rId167" ref="E139"/>
    <hyperlink r:id="rId168" ref="O139"/>
    <hyperlink r:id="rId169" ref="E140"/>
    <hyperlink r:id="rId170" ref="O140"/>
    <hyperlink r:id="rId171" ref="E141"/>
    <hyperlink r:id="rId172" ref="O141"/>
    <hyperlink r:id="rId173" ref="E142"/>
    <hyperlink r:id="rId174" ref="O142"/>
    <hyperlink r:id="rId175" ref="O143"/>
    <hyperlink r:id="rId176" ref="O144"/>
    <hyperlink r:id="rId177" ref="E148"/>
    <hyperlink r:id="rId178" ref="O148"/>
    <hyperlink r:id="rId179" ref="E149"/>
    <hyperlink r:id="rId180" ref="O149"/>
    <hyperlink r:id="rId181" ref="E150"/>
    <hyperlink r:id="rId182" ref="O150"/>
    <hyperlink r:id="rId183" ref="E151"/>
    <hyperlink r:id="rId184" ref="O151"/>
    <hyperlink r:id="rId185" ref="E152"/>
    <hyperlink r:id="rId186" ref="O152"/>
    <hyperlink r:id="rId187" ref="O153"/>
    <hyperlink r:id="rId188" ref="E159"/>
    <hyperlink r:id="rId189" ref="O159"/>
    <hyperlink r:id="rId190" ref="E160"/>
    <hyperlink r:id="rId191" ref="O160"/>
    <hyperlink r:id="rId192" ref="O161"/>
    <hyperlink r:id="rId193" ref="E162"/>
    <hyperlink r:id="rId194" ref="O162"/>
    <hyperlink r:id="rId195" ref="O163"/>
    <hyperlink r:id="rId196" ref="E164"/>
    <hyperlink r:id="rId197" ref="O164"/>
    <hyperlink r:id="rId198" ref="O165"/>
    <hyperlink r:id="rId199" ref="E170"/>
    <hyperlink r:id="rId200" ref="O170"/>
    <hyperlink r:id="rId201" ref="E171"/>
    <hyperlink r:id="rId202" ref="O171"/>
    <hyperlink r:id="rId203" ref="E172"/>
    <hyperlink r:id="rId204" ref="O172"/>
    <hyperlink r:id="rId205" ref="E173"/>
    <hyperlink r:id="rId206" ref="O173"/>
    <hyperlink r:id="rId207" ref="E174"/>
    <hyperlink r:id="rId208" ref="O174"/>
    <hyperlink r:id="rId209" ref="E181"/>
    <hyperlink r:id="rId210" ref="O181"/>
    <hyperlink r:id="rId211" ref="E182"/>
    <hyperlink r:id="rId212" ref="N182"/>
    <hyperlink r:id="rId213" ref="O182"/>
    <hyperlink r:id="rId214" ref="E183"/>
    <hyperlink r:id="rId215" ref="O183"/>
    <hyperlink r:id="rId216" ref="E184"/>
    <hyperlink r:id="rId217" ref="O184"/>
    <hyperlink r:id="rId218" ref="E185"/>
    <hyperlink r:id="rId219" ref="O185"/>
    <hyperlink r:id="rId220" ref="E186"/>
    <hyperlink r:id="rId221" ref="O186"/>
    <hyperlink r:id="rId222" ref="E187"/>
    <hyperlink r:id="rId223" ref="E188"/>
    <hyperlink r:id="rId224" ref="E192"/>
    <hyperlink r:id="rId225" ref="O192"/>
    <hyperlink r:id="rId226" ref="E193"/>
    <hyperlink r:id="rId227" ref="O193"/>
    <hyperlink r:id="rId228" ref="E194"/>
    <hyperlink r:id="rId229" ref="O194"/>
    <hyperlink r:id="rId230" ref="O195"/>
    <hyperlink r:id="rId231" ref="O196"/>
    <hyperlink r:id="rId232" ref="E197"/>
    <hyperlink r:id="rId233" ref="O197"/>
    <hyperlink r:id="rId234" ref="E198"/>
    <hyperlink r:id="rId235" ref="E199"/>
    <hyperlink r:id="rId236" ref="E203"/>
    <hyperlink r:id="rId237" ref="O203"/>
    <hyperlink r:id="rId238" ref="E204"/>
    <hyperlink r:id="rId239" ref="O204"/>
    <hyperlink r:id="rId240" ref="E205"/>
    <hyperlink r:id="rId241" ref="O205"/>
    <hyperlink r:id="rId242" ref="E206"/>
    <hyperlink r:id="rId243" ref="O206"/>
    <hyperlink r:id="rId244" ref="E207"/>
    <hyperlink r:id="rId245" ref="O207"/>
    <hyperlink r:id="rId246" ref="E208"/>
    <hyperlink r:id="rId247" ref="O208"/>
    <hyperlink r:id="rId248" ref="O209"/>
    <hyperlink r:id="rId249" ref="E214"/>
    <hyperlink r:id="rId250" ref="E215"/>
    <hyperlink r:id="rId251" ref="O215"/>
    <hyperlink r:id="rId252" ref="E216"/>
    <hyperlink r:id="rId253" ref="O216"/>
    <hyperlink r:id="rId254" ref="E217"/>
    <hyperlink r:id="rId255" ref="O217"/>
    <hyperlink r:id="rId256" ref="E218"/>
    <hyperlink r:id="rId257" ref="O218"/>
    <hyperlink r:id="rId258" ref="E219"/>
    <hyperlink r:id="rId259" ref="O219"/>
    <hyperlink r:id="rId260" ref="E220"/>
    <hyperlink r:id="rId261" ref="O220"/>
    <hyperlink r:id="rId262" ref="E225"/>
    <hyperlink r:id="rId263" ref="O225"/>
    <hyperlink r:id="rId264" ref="E226"/>
    <hyperlink r:id="rId265" ref="O226"/>
    <hyperlink r:id="rId266" ref="E227"/>
    <hyperlink r:id="rId267" ref="O227"/>
    <hyperlink r:id="rId268" ref="E228"/>
    <hyperlink r:id="rId269" ref="O228"/>
    <hyperlink r:id="rId270" ref="E229"/>
    <hyperlink r:id="rId271" ref="O229"/>
    <hyperlink r:id="rId272" ref="E230"/>
    <hyperlink r:id="rId273" ref="O230"/>
    <hyperlink r:id="rId274" ref="E231"/>
    <hyperlink r:id="rId275" ref="N231"/>
    <hyperlink r:id="rId276" ref="O231"/>
    <hyperlink r:id="rId277" ref="N232"/>
    <hyperlink r:id="rId278" ref="O232"/>
    <hyperlink r:id="rId279" location="championsData-all-queues" ref="E237"/>
    <hyperlink r:id="rId280" ref="O237"/>
    <hyperlink r:id="rId281" ref="E238"/>
    <hyperlink r:id="rId282" ref="O238"/>
    <hyperlink r:id="rId283" ref="E239"/>
    <hyperlink r:id="rId284" ref="O239"/>
    <hyperlink r:id="rId285" ref="E240"/>
    <hyperlink r:id="rId286" ref="O240"/>
    <hyperlink r:id="rId287" ref="E241"/>
    <hyperlink r:id="rId288" ref="O241"/>
    <hyperlink r:id="rId289" ref="E242"/>
    <hyperlink r:id="rId290" location="championsData-all-queues" ref="E243"/>
    <hyperlink r:id="rId291" ref="BB245"/>
    <hyperlink r:id="rId292" ref="BB246"/>
    <hyperlink r:id="rId293" ref="E248"/>
    <hyperlink r:id="rId294" ref="O248"/>
    <hyperlink r:id="rId295" ref="E249"/>
    <hyperlink r:id="rId296" ref="O249"/>
    <hyperlink r:id="rId297" ref="E250"/>
    <hyperlink r:id="rId298" ref="O250"/>
    <hyperlink r:id="rId299" ref="E251"/>
    <hyperlink r:id="rId300" ref="O251"/>
    <hyperlink r:id="rId301" ref="E252"/>
    <hyperlink r:id="rId302" ref="O252"/>
    <hyperlink r:id="rId303" ref="E253"/>
    <hyperlink r:id="rId304" ref="O254"/>
    <hyperlink r:id="rId305" ref="D259"/>
    <hyperlink r:id="rId306" ref="E259"/>
    <hyperlink r:id="rId307" ref="N259"/>
    <hyperlink r:id="rId308" ref="O259"/>
    <hyperlink r:id="rId309" ref="D260"/>
    <hyperlink r:id="rId310" ref="E260"/>
    <hyperlink r:id="rId311" ref="N260"/>
    <hyperlink r:id="rId312" ref="O260"/>
    <hyperlink r:id="rId313" ref="D261"/>
    <hyperlink r:id="rId314" ref="E261"/>
    <hyperlink r:id="rId315" ref="N261"/>
    <hyperlink r:id="rId316" ref="O261"/>
    <hyperlink r:id="rId317" ref="D262"/>
    <hyperlink r:id="rId318" ref="E262"/>
    <hyperlink r:id="rId319" ref="N262"/>
    <hyperlink r:id="rId320" ref="O262"/>
    <hyperlink r:id="rId321" ref="D263"/>
    <hyperlink r:id="rId322" ref="E263"/>
    <hyperlink r:id="rId323" ref="N263"/>
    <hyperlink r:id="rId324" ref="O263"/>
    <hyperlink r:id="rId325" ref="D264"/>
    <hyperlink r:id="rId326" ref="E264"/>
    <hyperlink r:id="rId327" ref="N264"/>
    <hyperlink r:id="rId328" ref="O264"/>
    <hyperlink r:id="rId329" ref="E265"/>
    <hyperlink r:id="rId330" ref="E266"/>
    <hyperlink r:id="rId331" ref="E267"/>
    <hyperlink r:id="rId332" ref="D270"/>
    <hyperlink r:id="rId333" ref="N270"/>
    <hyperlink r:id="rId334" ref="N271"/>
    <hyperlink r:id="rId335" ref="O271"/>
    <hyperlink r:id="rId336" ref="Q271"/>
    <hyperlink r:id="rId337" ref="D272"/>
    <hyperlink r:id="rId338" ref="N272"/>
    <hyperlink r:id="rId339" ref="O272"/>
    <hyperlink r:id="rId340" ref="D273"/>
    <hyperlink r:id="rId341" ref="N273"/>
    <hyperlink r:id="rId342" ref="O273"/>
    <hyperlink r:id="rId343" ref="D274"/>
    <hyperlink r:id="rId344" ref="E274"/>
    <hyperlink r:id="rId345" ref="N274"/>
    <hyperlink r:id="rId346" ref="O275"/>
    <hyperlink r:id="rId347" ref="D281"/>
    <hyperlink r:id="rId348" ref="N281"/>
    <hyperlink r:id="rId349" ref="O281"/>
    <hyperlink r:id="rId350" ref="D282"/>
    <hyperlink r:id="rId351" ref="O282"/>
    <hyperlink r:id="rId352" ref="D283"/>
    <hyperlink r:id="rId353" ref="N283"/>
    <hyperlink r:id="rId354" ref="N284"/>
    <hyperlink r:id="rId355" ref="N285"/>
    <hyperlink r:id="rId356" ref="D286"/>
    <hyperlink r:id="rId357" ref="N286"/>
    <hyperlink r:id="rId358" ref="D287"/>
    <hyperlink r:id="rId359" ref="E287"/>
    <hyperlink r:id="rId360" ref="O287"/>
    <hyperlink r:id="rId361" ref="D292"/>
    <hyperlink r:id="rId362" ref="N292"/>
    <hyperlink r:id="rId363" ref="O292"/>
    <hyperlink r:id="rId364" ref="N293"/>
    <hyperlink r:id="rId365" ref="O293"/>
    <hyperlink r:id="rId366" ref="D294"/>
    <hyperlink r:id="rId367" ref="N294"/>
    <hyperlink r:id="rId368" ref="O294"/>
    <hyperlink r:id="rId369" ref="D295"/>
    <hyperlink r:id="rId370" ref="N295"/>
    <hyperlink r:id="rId371" ref="O295"/>
    <hyperlink r:id="rId372" ref="D296"/>
    <hyperlink r:id="rId373" ref="N296"/>
    <hyperlink r:id="rId374" ref="O296"/>
    <hyperlink r:id="rId375" ref="N297"/>
    <hyperlink r:id="rId376" ref="N298"/>
    <hyperlink r:id="rId377" ref="O298"/>
    <hyperlink r:id="rId378" ref="E303"/>
    <hyperlink r:id="rId379" ref="O303"/>
    <hyperlink r:id="rId380" ref="E304"/>
    <hyperlink r:id="rId381" ref="O304"/>
    <hyperlink r:id="rId382" ref="E305"/>
    <hyperlink r:id="rId383" ref="O305"/>
    <hyperlink r:id="rId384" ref="E306"/>
    <hyperlink r:id="rId385" ref="O306"/>
    <hyperlink r:id="rId386" ref="E307"/>
    <hyperlink r:id="rId387" ref="O307"/>
    <hyperlink r:id="rId388" ref="E308"/>
    <hyperlink r:id="rId389" ref="D314"/>
    <hyperlink r:id="rId390" ref="E314"/>
    <hyperlink r:id="rId391" ref="E317"/>
    <hyperlink r:id="rId392" ref="E318"/>
  </hyperlinks>
  <drawing r:id="rId393"/>
  <legacyDrawing r:id="rId394"/>
  <tableParts count="28">
    <tablePart r:id="rId423"/>
    <tablePart r:id="rId424"/>
    <tablePart r:id="rId425"/>
    <tablePart r:id="rId426"/>
    <tablePart r:id="rId427"/>
    <tablePart r:id="rId428"/>
    <tablePart r:id="rId429"/>
    <tablePart r:id="rId430"/>
    <tablePart r:id="rId431"/>
    <tablePart r:id="rId432"/>
    <tablePart r:id="rId433"/>
    <tablePart r:id="rId434"/>
    <tablePart r:id="rId435"/>
    <tablePart r:id="rId436"/>
    <tablePart r:id="rId437"/>
    <tablePart r:id="rId438"/>
    <tablePart r:id="rId439"/>
    <tablePart r:id="rId440"/>
    <tablePart r:id="rId441"/>
    <tablePart r:id="rId442"/>
    <tablePart r:id="rId443"/>
    <tablePart r:id="rId444"/>
    <tablePart r:id="rId445"/>
    <tablePart r:id="rId446"/>
    <tablePart r:id="rId447"/>
    <tablePart r:id="rId448"/>
    <tablePart r:id="rId449"/>
    <tablePart r:id="rId45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63"/>
    <col customWidth="1" min="3" max="3" width="5.25"/>
    <col customWidth="1" min="4" max="4" width="17.5"/>
    <col customWidth="1" min="5" max="5" width="11.75"/>
    <col customWidth="1" min="6" max="6" width="3.13"/>
    <col customWidth="1" min="7" max="7" width="8.25"/>
    <col customWidth="1" min="8" max="8" width="19.75"/>
    <col customWidth="1" min="9" max="9" width="11.5"/>
    <col customWidth="1" min="11" max="11" width="5.63"/>
    <col customWidth="1" min="12" max="12" width="5.0"/>
    <col customWidth="1" min="13" max="13" width="16.5"/>
    <col customWidth="1" min="14" max="14" width="12.5"/>
    <col customWidth="1" min="15" max="15" width="3.13"/>
    <col customWidth="1" min="16" max="16" width="7.88"/>
    <col customWidth="1" min="17" max="17" width="23.13"/>
    <col customWidth="1" min="19" max="19" width="13.63"/>
    <col customWidth="1" min="21" max="21" width="21.38"/>
  </cols>
  <sheetData>
    <row r="1">
      <c r="A1" s="152" t="s">
        <v>1261</v>
      </c>
      <c r="B1" s="346"/>
      <c r="C1" s="346"/>
      <c r="D1" s="152"/>
      <c r="E1" s="347"/>
      <c r="F1" s="348"/>
      <c r="G1" s="347"/>
      <c r="H1" s="152"/>
      <c r="I1" s="349"/>
      <c r="K1" s="350"/>
      <c r="L1" s="350"/>
      <c r="M1" s="152"/>
      <c r="N1" s="351"/>
      <c r="O1" s="352"/>
      <c r="P1" s="353"/>
      <c r="Q1" s="152"/>
      <c r="R1" s="352"/>
    </row>
    <row r="2">
      <c r="A2" s="352"/>
      <c r="B2" s="354" t="s">
        <v>2473</v>
      </c>
      <c r="C2" s="354" t="s">
        <v>2474</v>
      </c>
      <c r="D2" s="354" t="s">
        <v>2475</v>
      </c>
      <c r="E2" s="355" t="s">
        <v>2476</v>
      </c>
      <c r="F2" s="356"/>
      <c r="G2" s="355" t="s">
        <v>2476</v>
      </c>
      <c r="H2" s="354" t="s">
        <v>2477</v>
      </c>
      <c r="I2" s="357" t="s">
        <v>2478</v>
      </c>
      <c r="J2" s="352"/>
      <c r="K2" s="354" t="s">
        <v>2473</v>
      </c>
      <c r="L2" s="354" t="s">
        <v>2474</v>
      </c>
      <c r="M2" s="354" t="s">
        <v>2475</v>
      </c>
      <c r="N2" s="358" t="s">
        <v>2476</v>
      </c>
      <c r="O2" s="359"/>
      <c r="P2" s="360" t="s">
        <v>2476</v>
      </c>
      <c r="Q2" s="354" t="s">
        <v>2477</v>
      </c>
      <c r="R2" s="357" t="s">
        <v>2478</v>
      </c>
      <c r="S2" s="352"/>
      <c r="T2" s="352"/>
      <c r="U2" s="352"/>
      <c r="V2" s="352"/>
      <c r="W2" s="352"/>
      <c r="X2" s="352"/>
      <c r="Y2" s="352"/>
      <c r="Z2" s="352"/>
      <c r="AA2" s="352"/>
      <c r="AB2" s="352"/>
      <c r="AC2" s="352"/>
      <c r="AD2" s="352"/>
      <c r="AE2" s="352"/>
      <c r="AF2" s="352"/>
      <c r="AG2" s="352"/>
    </row>
    <row r="3">
      <c r="B3" s="352"/>
      <c r="C3" s="352"/>
      <c r="E3" s="361"/>
      <c r="F3" s="362"/>
      <c r="G3" s="361"/>
      <c r="I3" s="349"/>
      <c r="K3" s="352"/>
      <c r="L3" s="352"/>
      <c r="N3" s="205"/>
      <c r="O3" s="352"/>
      <c r="P3" s="363"/>
      <c r="R3" s="352"/>
    </row>
    <row r="4">
      <c r="A4" s="364"/>
      <c r="B4" s="365"/>
      <c r="C4" s="366"/>
      <c r="D4" s="367" t="s">
        <v>2479</v>
      </c>
      <c r="E4" s="368"/>
      <c r="F4" s="369"/>
      <c r="G4" s="370"/>
      <c r="H4" s="367" t="s">
        <v>2480</v>
      </c>
      <c r="I4" s="371"/>
      <c r="J4" s="372"/>
      <c r="K4" s="373"/>
      <c r="L4" s="373"/>
      <c r="M4" s="374" t="s">
        <v>2481</v>
      </c>
      <c r="N4" s="375"/>
      <c r="O4" s="373"/>
      <c r="P4" s="376"/>
      <c r="Q4" s="374" t="s">
        <v>2482</v>
      </c>
      <c r="R4" s="377"/>
    </row>
    <row r="5" hidden="1">
      <c r="A5" s="364"/>
      <c r="B5" s="378"/>
      <c r="E5" s="361"/>
      <c r="F5" s="361"/>
      <c r="G5" s="361"/>
      <c r="I5" s="379"/>
      <c r="J5" s="372"/>
      <c r="K5" s="380"/>
      <c r="L5" s="380"/>
      <c r="M5" s="381"/>
      <c r="N5" s="382"/>
      <c r="O5" s="380"/>
      <c r="P5" s="383"/>
      <c r="Q5" s="381"/>
      <c r="R5" s="377"/>
    </row>
    <row r="6">
      <c r="A6" s="384"/>
      <c r="B6" s="385" t="s">
        <v>2483</v>
      </c>
      <c r="C6" s="386" t="s">
        <v>2484</v>
      </c>
      <c r="D6" s="387" t="s">
        <v>2485</v>
      </c>
      <c r="E6" s="388"/>
      <c r="F6" s="389" t="s">
        <v>2486</v>
      </c>
      <c r="G6" s="390" t="s">
        <v>613</v>
      </c>
      <c r="H6" s="387" t="s">
        <v>612</v>
      </c>
      <c r="I6" s="391" t="s">
        <v>2487</v>
      </c>
      <c r="J6" s="392"/>
      <c r="K6" s="393" t="s">
        <v>2483</v>
      </c>
      <c r="L6" s="393"/>
      <c r="M6" s="394"/>
      <c r="N6" s="388"/>
      <c r="O6" s="393" t="s">
        <v>2486</v>
      </c>
      <c r="P6" s="395"/>
      <c r="Q6" s="396"/>
      <c r="R6" s="393"/>
    </row>
    <row r="7">
      <c r="A7" s="384"/>
      <c r="B7" s="385" t="s">
        <v>2488</v>
      </c>
      <c r="C7" s="386" t="s">
        <v>2489</v>
      </c>
      <c r="D7" s="387" t="s">
        <v>2490</v>
      </c>
      <c r="E7" s="388" t="s">
        <v>2491</v>
      </c>
      <c r="F7" s="389" t="s">
        <v>2486</v>
      </c>
      <c r="G7" s="390" t="s">
        <v>294</v>
      </c>
      <c r="H7" s="387" t="s">
        <v>2492</v>
      </c>
      <c r="I7" s="391" t="s">
        <v>2487</v>
      </c>
      <c r="K7" s="393" t="s">
        <v>2488</v>
      </c>
      <c r="L7" s="393" t="s">
        <v>2493</v>
      </c>
      <c r="M7" s="396" t="s">
        <v>2494</v>
      </c>
      <c r="N7" s="397" t="s">
        <v>2495</v>
      </c>
      <c r="O7" s="393" t="s">
        <v>2486</v>
      </c>
      <c r="P7" s="395" t="s">
        <v>2496</v>
      </c>
      <c r="Q7" s="396" t="s">
        <v>1867</v>
      </c>
      <c r="R7" s="393" t="s">
        <v>2497</v>
      </c>
    </row>
    <row r="8">
      <c r="A8" s="364"/>
      <c r="B8" s="378"/>
      <c r="C8" s="380"/>
      <c r="D8" s="381"/>
      <c r="E8" s="398"/>
      <c r="F8" s="399"/>
      <c r="G8" s="400"/>
      <c r="H8" s="381"/>
      <c r="I8" s="379"/>
      <c r="J8" s="392"/>
      <c r="K8" s="380"/>
      <c r="L8" s="380"/>
      <c r="M8" s="381"/>
      <c r="N8" s="382"/>
      <c r="O8" s="380"/>
      <c r="P8" s="383"/>
      <c r="Q8" s="381"/>
      <c r="R8" s="377"/>
    </row>
    <row r="9">
      <c r="A9" s="364"/>
      <c r="B9" s="401"/>
      <c r="C9" s="402"/>
      <c r="D9" s="403" t="s">
        <v>2479</v>
      </c>
      <c r="E9" s="404"/>
      <c r="F9" s="405"/>
      <c r="G9" s="406"/>
      <c r="H9" s="403" t="s">
        <v>2498</v>
      </c>
      <c r="I9" s="379"/>
      <c r="J9" s="372"/>
      <c r="K9" s="373"/>
      <c r="L9" s="373"/>
      <c r="M9" s="374" t="s">
        <v>2499</v>
      </c>
      <c r="N9" s="375"/>
      <c r="O9" s="373"/>
      <c r="P9" s="376"/>
      <c r="Q9" s="374" t="s">
        <v>2482</v>
      </c>
      <c r="R9" s="377"/>
    </row>
    <row r="10" hidden="1">
      <c r="A10" s="364"/>
      <c r="B10" s="378"/>
      <c r="C10" s="380"/>
      <c r="D10" s="381"/>
      <c r="E10" s="398"/>
      <c r="F10" s="399"/>
      <c r="G10" s="400"/>
      <c r="H10" s="381"/>
      <c r="I10" s="379"/>
      <c r="J10" s="372"/>
      <c r="K10" s="380"/>
      <c r="L10" s="380"/>
      <c r="M10" s="381"/>
      <c r="N10" s="382"/>
      <c r="O10" s="380"/>
      <c r="P10" s="383"/>
      <c r="Q10" s="381"/>
      <c r="R10" s="377"/>
    </row>
    <row r="11">
      <c r="A11" s="384"/>
      <c r="B11" s="407" t="s">
        <v>2483</v>
      </c>
      <c r="C11" s="408"/>
      <c r="D11" s="387"/>
      <c r="E11" s="388"/>
      <c r="F11" s="409" t="s">
        <v>2486</v>
      </c>
      <c r="G11" s="390"/>
      <c r="H11" s="387"/>
      <c r="I11" s="410"/>
      <c r="J11" s="392"/>
      <c r="K11" s="393" t="s">
        <v>2483</v>
      </c>
      <c r="L11" s="393" t="s">
        <v>2500</v>
      </c>
      <c r="M11" s="396" t="s">
        <v>902</v>
      </c>
      <c r="N11" s="397" t="s">
        <v>903</v>
      </c>
      <c r="O11" s="393" t="s">
        <v>2486</v>
      </c>
      <c r="P11" s="395" t="s">
        <v>1032</v>
      </c>
      <c r="Q11" s="396" t="s">
        <v>1031</v>
      </c>
      <c r="R11" s="393" t="s">
        <v>2497</v>
      </c>
    </row>
    <row r="12">
      <c r="A12" s="384"/>
      <c r="B12" s="407" t="s">
        <v>2488</v>
      </c>
      <c r="C12" s="408"/>
      <c r="D12" s="387"/>
      <c r="E12" s="388"/>
      <c r="F12" s="409" t="s">
        <v>2486</v>
      </c>
      <c r="G12" s="390"/>
      <c r="H12" s="411"/>
      <c r="I12" s="410"/>
      <c r="J12" s="392"/>
      <c r="K12" s="393" t="s">
        <v>2488</v>
      </c>
      <c r="L12" s="393"/>
      <c r="M12" s="396"/>
      <c r="N12" s="397"/>
      <c r="O12" s="393" t="s">
        <v>2486</v>
      </c>
      <c r="P12" s="395"/>
      <c r="Q12" s="396"/>
      <c r="R12" s="393"/>
    </row>
    <row r="13" hidden="1">
      <c r="A13" s="384"/>
      <c r="B13" s="407"/>
      <c r="C13" s="408"/>
      <c r="D13" s="387"/>
      <c r="E13" s="388"/>
      <c r="F13" s="409"/>
      <c r="G13" s="390"/>
      <c r="H13" s="387"/>
      <c r="I13" s="410"/>
      <c r="J13" s="392"/>
      <c r="K13" s="393"/>
      <c r="L13" s="393"/>
      <c r="M13" s="396"/>
      <c r="N13" s="397"/>
      <c r="O13" s="393"/>
      <c r="P13" s="395"/>
      <c r="Q13" s="396"/>
      <c r="R13" s="377"/>
    </row>
    <row r="14">
      <c r="A14" s="364"/>
      <c r="B14" s="378"/>
      <c r="C14" s="380"/>
      <c r="E14" s="388"/>
      <c r="F14" s="412"/>
      <c r="G14" s="390"/>
      <c r="I14" s="379"/>
      <c r="J14" s="372"/>
      <c r="K14" s="380"/>
      <c r="L14" s="380"/>
      <c r="M14" s="381"/>
      <c r="N14" s="382"/>
      <c r="O14" s="380"/>
      <c r="P14" s="383"/>
      <c r="Q14" s="381"/>
      <c r="R14" s="377"/>
    </row>
    <row r="15">
      <c r="A15" s="364"/>
      <c r="B15" s="413"/>
      <c r="C15" s="414"/>
      <c r="D15" s="415" t="s">
        <v>2479</v>
      </c>
      <c r="E15" s="416"/>
      <c r="F15" s="417"/>
      <c r="G15" s="418"/>
      <c r="H15" s="415" t="s">
        <v>2501</v>
      </c>
      <c r="I15" s="379"/>
      <c r="J15" s="372"/>
      <c r="K15" s="373"/>
      <c r="L15" s="373"/>
      <c r="M15" s="374" t="s">
        <v>2502</v>
      </c>
      <c r="N15" s="375"/>
      <c r="O15" s="373"/>
      <c r="P15" s="376"/>
      <c r="Q15" s="374"/>
      <c r="R15" s="380"/>
    </row>
    <row r="16" hidden="1">
      <c r="A16" s="364"/>
      <c r="B16" s="378"/>
      <c r="C16" s="380"/>
      <c r="D16" s="381"/>
      <c r="E16" s="398"/>
      <c r="F16" s="399"/>
      <c r="G16" s="400"/>
      <c r="H16" s="381"/>
      <c r="I16" s="379"/>
      <c r="J16" s="372"/>
      <c r="K16" s="380"/>
      <c r="L16" s="380"/>
      <c r="M16" s="381"/>
      <c r="N16" s="382"/>
      <c r="O16" s="380"/>
      <c r="P16" s="383"/>
      <c r="Q16" s="381"/>
      <c r="R16" s="377"/>
    </row>
    <row r="17">
      <c r="A17" s="364"/>
      <c r="B17" s="419" t="s">
        <v>2483</v>
      </c>
      <c r="C17" s="420"/>
      <c r="D17" s="387"/>
      <c r="E17" s="388"/>
      <c r="F17" s="421" t="s">
        <v>2486</v>
      </c>
      <c r="G17" s="390"/>
      <c r="H17" s="387"/>
      <c r="I17" s="422"/>
      <c r="J17" s="372"/>
      <c r="K17" s="393" t="s">
        <v>2483</v>
      </c>
      <c r="L17" s="393" t="s">
        <v>2503</v>
      </c>
      <c r="M17" s="396" t="s">
        <v>2504</v>
      </c>
      <c r="N17" s="397" t="s">
        <v>1956</v>
      </c>
      <c r="O17" s="393" t="s">
        <v>2486</v>
      </c>
      <c r="P17" s="395" t="s">
        <v>1032</v>
      </c>
      <c r="Q17" s="396" t="s">
        <v>1031</v>
      </c>
      <c r="R17" s="373"/>
    </row>
    <row r="18">
      <c r="A18" s="364"/>
      <c r="B18" s="423" t="s">
        <v>2488</v>
      </c>
      <c r="C18" s="424"/>
      <c r="D18" s="425"/>
      <c r="E18" s="426"/>
      <c r="F18" s="427" t="s">
        <v>2486</v>
      </c>
      <c r="G18" s="428"/>
      <c r="H18" s="425"/>
      <c r="I18" s="429"/>
      <c r="J18" s="372"/>
      <c r="K18" s="393" t="s">
        <v>2488</v>
      </c>
      <c r="L18" s="393"/>
      <c r="M18" s="396"/>
      <c r="N18" s="397"/>
      <c r="O18" s="393" t="s">
        <v>2486</v>
      </c>
      <c r="P18" s="395"/>
      <c r="Q18" s="396"/>
      <c r="R18" s="393"/>
    </row>
    <row r="19">
      <c r="A19" s="364"/>
      <c r="B19" s="380"/>
      <c r="C19" s="380"/>
      <c r="D19" s="381"/>
      <c r="E19" s="398"/>
      <c r="F19" s="399"/>
      <c r="G19" s="400"/>
      <c r="H19" s="381"/>
      <c r="I19" s="430"/>
      <c r="J19" s="372"/>
      <c r="K19" s="380"/>
      <c r="L19" s="380"/>
      <c r="M19" s="381"/>
      <c r="N19" s="382"/>
      <c r="O19" s="380"/>
      <c r="P19" s="383"/>
      <c r="Q19" s="381"/>
      <c r="R19" s="377"/>
    </row>
    <row r="20">
      <c r="A20" s="364"/>
      <c r="B20" s="380"/>
      <c r="C20" s="380"/>
      <c r="D20" s="381"/>
      <c r="E20" s="398"/>
      <c r="F20" s="399"/>
      <c r="G20" s="400"/>
      <c r="H20" s="381"/>
      <c r="I20" s="430"/>
      <c r="J20" s="372"/>
      <c r="K20" s="380"/>
      <c r="L20" s="380"/>
      <c r="M20" s="381"/>
      <c r="N20" s="382"/>
      <c r="O20" s="380"/>
      <c r="P20" s="383"/>
      <c r="Q20" s="381"/>
      <c r="R20" s="377"/>
    </row>
    <row r="21">
      <c r="A21" s="364"/>
      <c r="B21" s="365"/>
      <c r="C21" s="366"/>
      <c r="D21" s="367" t="s">
        <v>2505</v>
      </c>
      <c r="E21" s="368"/>
      <c r="F21" s="369"/>
      <c r="G21" s="370"/>
      <c r="H21" s="367" t="s">
        <v>2480</v>
      </c>
      <c r="I21" s="371"/>
      <c r="J21" s="364"/>
      <c r="K21" s="431"/>
      <c r="L21" s="431"/>
      <c r="M21" s="432" t="s">
        <v>2479</v>
      </c>
      <c r="N21" s="433"/>
      <c r="O21" s="434"/>
      <c r="P21" s="435"/>
      <c r="Q21" s="432" t="s">
        <v>2480</v>
      </c>
      <c r="R21" s="430"/>
      <c r="S21" s="364"/>
      <c r="T21" s="364"/>
      <c r="U21" s="364"/>
    </row>
    <row r="22" hidden="1">
      <c r="A22" s="364"/>
      <c r="B22" s="378"/>
      <c r="C22" s="380"/>
      <c r="D22" s="381"/>
      <c r="E22" s="398"/>
      <c r="F22" s="399"/>
      <c r="G22" s="400"/>
      <c r="H22" s="381"/>
      <c r="I22" s="379"/>
      <c r="J22" s="372"/>
      <c r="K22" s="380"/>
      <c r="N22" s="361"/>
      <c r="O22" s="361"/>
      <c r="P22" s="361"/>
      <c r="R22" s="430"/>
    </row>
    <row r="23">
      <c r="A23" s="384"/>
      <c r="B23" s="385" t="s">
        <v>2483</v>
      </c>
      <c r="C23" s="386" t="s">
        <v>2506</v>
      </c>
      <c r="D23" s="387" t="s">
        <v>2507</v>
      </c>
      <c r="E23" s="388"/>
      <c r="F23" s="389" t="s">
        <v>2486</v>
      </c>
      <c r="G23" s="390"/>
      <c r="H23" s="387" t="s">
        <v>2508</v>
      </c>
      <c r="I23" s="391" t="s">
        <v>2509</v>
      </c>
      <c r="J23" s="392"/>
      <c r="K23" s="386" t="s">
        <v>2483</v>
      </c>
      <c r="L23" s="386" t="s">
        <v>2484</v>
      </c>
      <c r="M23" s="396" t="s">
        <v>1031</v>
      </c>
      <c r="N23" s="388" t="s">
        <v>1032</v>
      </c>
      <c r="O23" s="389" t="s">
        <v>2486</v>
      </c>
      <c r="P23" s="390" t="s">
        <v>613</v>
      </c>
      <c r="Q23" s="387" t="s">
        <v>612</v>
      </c>
      <c r="R23" s="436" t="s">
        <v>2487</v>
      </c>
    </row>
    <row r="24">
      <c r="A24" s="384"/>
      <c r="B24" s="385" t="s">
        <v>2488</v>
      </c>
      <c r="C24" s="386"/>
      <c r="D24" s="387"/>
      <c r="E24" s="388"/>
      <c r="F24" s="389" t="s">
        <v>2486</v>
      </c>
      <c r="G24" s="390"/>
      <c r="H24" s="387"/>
      <c r="I24" s="391"/>
      <c r="J24" s="392"/>
      <c r="K24" s="386" t="s">
        <v>2488</v>
      </c>
      <c r="L24" s="386" t="s">
        <v>2489</v>
      </c>
      <c r="M24" s="387" t="s">
        <v>1675</v>
      </c>
      <c r="N24" s="388" t="s">
        <v>2495</v>
      </c>
      <c r="O24" s="389" t="s">
        <v>2486</v>
      </c>
      <c r="P24" s="390" t="s">
        <v>294</v>
      </c>
      <c r="Q24" s="387" t="s">
        <v>2492</v>
      </c>
      <c r="R24" s="436" t="s">
        <v>2487</v>
      </c>
    </row>
    <row r="25" hidden="1">
      <c r="A25" s="384"/>
      <c r="B25" s="385"/>
      <c r="C25" s="386"/>
      <c r="D25" s="387"/>
      <c r="E25" s="388"/>
      <c r="F25" s="389"/>
      <c r="G25" s="390"/>
      <c r="H25" s="387"/>
      <c r="I25" s="437"/>
      <c r="J25" s="392"/>
      <c r="K25" s="393"/>
      <c r="L25" s="393"/>
      <c r="M25" s="396"/>
      <c r="N25" s="397"/>
      <c r="O25" s="393"/>
      <c r="P25" s="395"/>
      <c r="Q25" s="396"/>
      <c r="R25" s="377"/>
    </row>
    <row r="26">
      <c r="A26" s="364"/>
      <c r="B26" s="378"/>
      <c r="C26" s="380"/>
      <c r="D26" s="381"/>
      <c r="E26" s="398"/>
      <c r="F26" s="399"/>
      <c r="G26" s="400"/>
      <c r="H26" s="381"/>
      <c r="I26" s="379"/>
      <c r="J26" s="392"/>
      <c r="K26" s="380"/>
      <c r="L26" s="380"/>
      <c r="M26" s="381"/>
      <c r="N26" s="382"/>
      <c r="O26" s="380"/>
      <c r="P26" s="383"/>
      <c r="Q26" s="381"/>
      <c r="R26" s="377"/>
    </row>
    <row r="27">
      <c r="A27" s="364"/>
      <c r="B27" s="401"/>
      <c r="C27" s="402"/>
      <c r="D27" s="403" t="s">
        <v>2505</v>
      </c>
      <c r="E27" s="404"/>
      <c r="F27" s="405"/>
      <c r="G27" s="406"/>
      <c r="H27" s="403" t="s">
        <v>2498</v>
      </c>
      <c r="I27" s="379"/>
      <c r="J27" s="392"/>
      <c r="K27" s="431"/>
      <c r="L27" s="431"/>
      <c r="M27" s="432" t="s">
        <v>2505</v>
      </c>
      <c r="N27" s="433"/>
      <c r="O27" s="434"/>
      <c r="P27" s="435"/>
      <c r="Q27" s="432" t="s">
        <v>2510</v>
      </c>
      <c r="R27" s="430"/>
      <c r="S27" s="364"/>
      <c r="T27" s="364"/>
      <c r="U27" s="364"/>
    </row>
    <row r="28" hidden="1">
      <c r="A28" s="364"/>
      <c r="B28" s="378"/>
      <c r="C28" s="380"/>
      <c r="D28" s="381"/>
      <c r="E28" s="398"/>
      <c r="F28" s="399"/>
      <c r="G28" s="400"/>
      <c r="H28" s="381"/>
      <c r="I28" s="379"/>
      <c r="J28" s="392"/>
      <c r="K28" s="380"/>
      <c r="L28" s="380"/>
      <c r="M28" s="381"/>
      <c r="N28" s="398"/>
      <c r="O28" s="399"/>
      <c r="P28" s="400"/>
      <c r="Q28" s="381"/>
      <c r="R28" s="430"/>
      <c r="S28" s="364"/>
      <c r="T28" s="364"/>
      <c r="U28" s="364"/>
    </row>
    <row r="29">
      <c r="A29" s="384"/>
      <c r="B29" s="407" t="s">
        <v>2483</v>
      </c>
      <c r="C29" s="408"/>
      <c r="D29" s="387"/>
      <c r="E29" s="438"/>
      <c r="F29" s="409" t="s">
        <v>2486</v>
      </c>
      <c r="G29" s="439"/>
      <c r="H29" s="387"/>
      <c r="I29" s="410"/>
      <c r="J29" s="392"/>
      <c r="K29" s="386" t="s">
        <v>2483</v>
      </c>
      <c r="L29" s="386" t="s">
        <v>2506</v>
      </c>
      <c r="M29" s="387" t="s">
        <v>612</v>
      </c>
      <c r="N29" s="388" t="s">
        <v>613</v>
      </c>
      <c r="O29" s="389" t="s">
        <v>2486</v>
      </c>
      <c r="P29" s="390" t="s">
        <v>294</v>
      </c>
      <c r="Q29" s="387" t="s">
        <v>2492</v>
      </c>
      <c r="R29" s="436" t="s">
        <v>2509</v>
      </c>
      <c r="S29" s="364"/>
      <c r="T29" s="364"/>
      <c r="U29" s="364"/>
    </row>
    <row r="30">
      <c r="A30" s="384"/>
      <c r="B30" s="407" t="s">
        <v>2488</v>
      </c>
      <c r="C30" s="408"/>
      <c r="D30" s="387"/>
      <c r="E30" s="438"/>
      <c r="F30" s="409" t="s">
        <v>2486</v>
      </c>
      <c r="G30" s="439"/>
      <c r="H30" s="387"/>
      <c r="I30" s="410"/>
      <c r="J30" s="392"/>
      <c r="K30" s="408" t="s">
        <v>2483</v>
      </c>
      <c r="L30" s="408" t="s">
        <v>2511</v>
      </c>
      <c r="M30" s="387" t="s">
        <v>2512</v>
      </c>
      <c r="N30" s="388" t="s">
        <v>329</v>
      </c>
      <c r="O30" s="409" t="s">
        <v>2486</v>
      </c>
      <c r="P30" s="390" t="s">
        <v>398</v>
      </c>
      <c r="Q30" s="387" t="s">
        <v>2513</v>
      </c>
      <c r="R30" s="440" t="s">
        <v>2509</v>
      </c>
      <c r="S30" s="364"/>
      <c r="T30" s="364"/>
      <c r="U30" s="364"/>
    </row>
    <row r="31">
      <c r="B31" s="441"/>
      <c r="C31" s="377"/>
      <c r="E31" s="442"/>
      <c r="F31" s="362"/>
      <c r="G31" s="443"/>
      <c r="I31" s="444"/>
      <c r="K31" s="346"/>
      <c r="L31" s="346"/>
      <c r="M31" s="346"/>
      <c r="N31" s="351"/>
      <c r="O31" s="445"/>
      <c r="P31" s="353"/>
      <c r="Q31" s="346"/>
      <c r="R31" s="446"/>
    </row>
    <row r="32">
      <c r="B32" s="413"/>
      <c r="C32" s="414"/>
      <c r="D32" s="415" t="s">
        <v>2505</v>
      </c>
      <c r="E32" s="416"/>
      <c r="F32" s="417"/>
      <c r="G32" s="418"/>
      <c r="H32" s="415" t="s">
        <v>2501</v>
      </c>
      <c r="I32" s="379"/>
      <c r="K32" s="431"/>
      <c r="L32" s="431"/>
      <c r="M32" s="432" t="s">
        <v>2514</v>
      </c>
      <c r="N32" s="433"/>
      <c r="O32" s="434"/>
      <c r="P32" s="435"/>
      <c r="Q32" s="432" t="s">
        <v>2480</v>
      </c>
      <c r="R32" s="349"/>
    </row>
    <row r="33" hidden="1">
      <c r="B33" s="378"/>
      <c r="C33" s="380"/>
      <c r="D33" s="381"/>
      <c r="E33" s="398"/>
      <c r="F33" s="399"/>
      <c r="G33" s="400"/>
      <c r="H33" s="381"/>
      <c r="I33" s="379"/>
      <c r="K33" s="380"/>
      <c r="L33" s="380"/>
      <c r="M33" s="381"/>
      <c r="N33" s="398"/>
      <c r="O33" s="399"/>
      <c r="P33" s="400"/>
      <c r="Q33" s="381"/>
      <c r="R33" s="349"/>
    </row>
    <row r="34">
      <c r="B34" s="419" t="s">
        <v>2483</v>
      </c>
      <c r="C34" s="420"/>
      <c r="D34" s="387"/>
      <c r="E34" s="388"/>
      <c r="F34" s="421" t="s">
        <v>2486</v>
      </c>
      <c r="G34" s="390"/>
      <c r="H34" s="387"/>
      <c r="I34" s="422"/>
      <c r="K34" s="386" t="s">
        <v>2515</v>
      </c>
      <c r="L34" s="386" t="s">
        <v>2516</v>
      </c>
      <c r="M34" s="152" t="s">
        <v>2517</v>
      </c>
      <c r="N34" s="152" t="s">
        <v>2518</v>
      </c>
      <c r="O34" s="389" t="s">
        <v>2486</v>
      </c>
      <c r="P34" s="152" t="s">
        <v>2519</v>
      </c>
      <c r="Q34" s="152" t="s">
        <v>2520</v>
      </c>
      <c r="R34" s="447" t="s">
        <v>2509</v>
      </c>
    </row>
    <row r="35">
      <c r="B35" s="423" t="s">
        <v>2488</v>
      </c>
      <c r="C35" s="424"/>
      <c r="D35" s="425"/>
      <c r="E35" s="426"/>
      <c r="F35" s="427" t="s">
        <v>2486</v>
      </c>
      <c r="G35" s="428"/>
      <c r="H35" s="425"/>
      <c r="I35" s="429"/>
      <c r="K35" s="386" t="s">
        <v>2521</v>
      </c>
      <c r="L35" s="386"/>
      <c r="M35" s="387"/>
      <c r="N35" s="388"/>
      <c r="O35" s="389" t="s">
        <v>2486</v>
      </c>
      <c r="P35" s="390"/>
      <c r="Q35" s="387"/>
      <c r="R35" s="447"/>
    </row>
    <row r="36">
      <c r="B36" s="352"/>
      <c r="C36" s="377"/>
      <c r="E36" s="442"/>
      <c r="F36" s="362"/>
      <c r="G36" s="443"/>
      <c r="I36" s="349"/>
      <c r="K36" s="346"/>
      <c r="L36" s="346"/>
      <c r="M36" s="346"/>
      <c r="N36" s="351"/>
      <c r="O36" s="445"/>
      <c r="P36" s="353"/>
      <c r="Q36" s="346"/>
      <c r="R36" s="446"/>
    </row>
    <row r="37">
      <c r="B37" s="352"/>
      <c r="C37" s="377"/>
      <c r="E37" s="442"/>
      <c r="F37" s="362"/>
      <c r="G37" s="443"/>
      <c r="I37" s="349"/>
      <c r="K37" s="445"/>
      <c r="L37" s="445"/>
      <c r="N37" s="205"/>
      <c r="P37" s="363"/>
      <c r="R37" s="445"/>
    </row>
    <row r="38">
      <c r="A38" s="364"/>
      <c r="B38" s="365"/>
      <c r="C38" s="366"/>
      <c r="D38" s="367" t="s">
        <v>2514</v>
      </c>
      <c r="E38" s="368"/>
      <c r="F38" s="369"/>
      <c r="G38" s="370"/>
      <c r="H38" s="367" t="s">
        <v>2480</v>
      </c>
      <c r="I38" s="448"/>
      <c r="K38" s="431"/>
      <c r="L38" s="431"/>
      <c r="M38" s="432" t="s">
        <v>2522</v>
      </c>
      <c r="N38" s="433"/>
      <c r="O38" s="434"/>
      <c r="P38" s="435"/>
      <c r="Q38" s="432" t="s">
        <v>2480</v>
      </c>
      <c r="R38" s="349"/>
    </row>
    <row r="39" hidden="1">
      <c r="A39" s="364"/>
      <c r="B39" s="378"/>
      <c r="C39" s="380"/>
      <c r="D39" s="381"/>
      <c r="E39" s="398"/>
      <c r="F39" s="399"/>
      <c r="G39" s="400"/>
      <c r="H39" s="381"/>
      <c r="I39" s="444"/>
      <c r="K39" s="380"/>
      <c r="L39" s="380"/>
      <c r="M39" s="381"/>
      <c r="N39" s="398"/>
      <c r="O39" s="399"/>
      <c r="P39" s="400"/>
      <c r="Q39" s="381"/>
      <c r="R39" s="349"/>
    </row>
    <row r="40">
      <c r="A40" s="384"/>
      <c r="B40" s="385" t="s">
        <v>2523</v>
      </c>
      <c r="C40" s="386" t="s">
        <v>2516</v>
      </c>
      <c r="D40" s="152" t="s">
        <v>2517</v>
      </c>
      <c r="E40" s="152"/>
      <c r="F40" s="389" t="s">
        <v>2486</v>
      </c>
      <c r="G40" s="152"/>
      <c r="H40" s="152" t="s">
        <v>2520</v>
      </c>
      <c r="I40" s="449"/>
      <c r="K40" s="386" t="s">
        <v>2515</v>
      </c>
      <c r="L40" s="386" t="s">
        <v>2524</v>
      </c>
      <c r="M40" s="152" t="s">
        <v>2525</v>
      </c>
      <c r="N40" s="351" t="s">
        <v>2519</v>
      </c>
      <c r="O40" s="389" t="s">
        <v>2486</v>
      </c>
      <c r="P40" s="152"/>
      <c r="Q40" s="152" t="s">
        <v>2526</v>
      </c>
      <c r="R40" s="447" t="s">
        <v>2509</v>
      </c>
    </row>
    <row r="41">
      <c r="A41" s="384"/>
      <c r="B41" s="385" t="s">
        <v>2527</v>
      </c>
      <c r="C41" s="386"/>
      <c r="D41" s="387"/>
      <c r="E41" s="388"/>
      <c r="F41" s="389" t="s">
        <v>2486</v>
      </c>
      <c r="G41" s="390"/>
      <c r="H41" s="387"/>
      <c r="I41" s="437"/>
      <c r="K41" s="386" t="s">
        <v>2521</v>
      </c>
      <c r="L41" s="386"/>
      <c r="M41" s="450"/>
      <c r="N41" s="388"/>
      <c r="O41" s="389" t="s">
        <v>2486</v>
      </c>
      <c r="P41" s="390"/>
      <c r="Q41" s="451"/>
      <c r="R41" s="447"/>
    </row>
    <row r="42">
      <c r="A42" s="384"/>
      <c r="B42" s="385" t="s">
        <v>2483</v>
      </c>
      <c r="C42" s="386"/>
      <c r="D42" s="387"/>
      <c r="E42" s="388"/>
      <c r="F42" s="389" t="s">
        <v>2486</v>
      </c>
      <c r="G42" s="390"/>
      <c r="H42" s="387"/>
      <c r="I42" s="437"/>
    </row>
    <row r="43">
      <c r="A43" s="384"/>
      <c r="B43" s="385" t="s">
        <v>2488</v>
      </c>
      <c r="C43" s="386"/>
      <c r="D43" s="387"/>
      <c r="E43" s="388"/>
      <c r="F43" s="389" t="s">
        <v>2486</v>
      </c>
      <c r="G43" s="390"/>
      <c r="H43" s="387"/>
      <c r="I43" s="449"/>
    </row>
    <row r="44" hidden="1">
      <c r="A44" s="384"/>
      <c r="B44" s="385"/>
      <c r="C44" s="452"/>
      <c r="D44" s="453"/>
      <c r="E44" s="454"/>
      <c r="F44" s="455"/>
      <c r="G44" s="456"/>
      <c r="H44" s="453"/>
      <c r="I44" s="449"/>
      <c r="K44" s="457"/>
      <c r="L44" s="457"/>
      <c r="M44" s="364"/>
      <c r="N44" s="458"/>
      <c r="O44" s="457"/>
      <c r="P44" s="459"/>
      <c r="Q44" s="364"/>
      <c r="R44" s="445"/>
    </row>
    <row r="45">
      <c r="A45" s="364"/>
      <c r="B45" s="378"/>
      <c r="C45" s="380"/>
      <c r="D45" s="381"/>
      <c r="E45" s="398"/>
      <c r="F45" s="399"/>
      <c r="G45" s="400"/>
      <c r="H45" s="381"/>
      <c r="I45" s="444"/>
      <c r="K45" s="445"/>
      <c r="L45" s="445"/>
      <c r="N45" s="205"/>
      <c r="P45" s="363"/>
      <c r="R45" s="445"/>
    </row>
    <row r="46">
      <c r="A46" s="364"/>
      <c r="B46" s="401"/>
      <c r="C46" s="402"/>
      <c r="D46" s="403" t="s">
        <v>2514</v>
      </c>
      <c r="E46" s="404"/>
      <c r="F46" s="405"/>
      <c r="G46" s="406"/>
      <c r="H46" s="403" t="s">
        <v>2498</v>
      </c>
      <c r="I46" s="444"/>
      <c r="K46" s="457"/>
      <c r="L46" s="457"/>
      <c r="M46" s="384"/>
      <c r="N46" s="460"/>
      <c r="O46" s="457"/>
      <c r="P46" s="461"/>
      <c r="Q46" s="384"/>
      <c r="R46" s="445"/>
    </row>
    <row r="47" hidden="1">
      <c r="B47" s="441"/>
      <c r="C47" s="377"/>
      <c r="E47" s="442"/>
      <c r="F47" s="362"/>
      <c r="G47" s="443"/>
      <c r="I47" s="444"/>
      <c r="K47" s="457"/>
      <c r="L47" s="457"/>
      <c r="M47" s="364"/>
      <c r="N47" s="458"/>
      <c r="O47" s="457"/>
      <c r="P47" s="459"/>
      <c r="Q47" s="364"/>
      <c r="R47" s="445"/>
    </row>
    <row r="48">
      <c r="A48" s="384"/>
      <c r="B48" s="407" t="s">
        <v>2523</v>
      </c>
      <c r="C48" s="408"/>
      <c r="D48" s="450"/>
      <c r="E48" s="462"/>
      <c r="F48" s="409" t="s">
        <v>2486</v>
      </c>
      <c r="G48" s="390"/>
      <c r="H48" s="387"/>
      <c r="I48" s="410"/>
      <c r="K48" s="463"/>
      <c r="L48" s="463"/>
      <c r="O48" s="463"/>
      <c r="P48" s="461"/>
      <c r="Q48" s="384"/>
      <c r="R48" s="445"/>
    </row>
    <row r="49">
      <c r="A49" s="384"/>
      <c r="B49" s="407" t="s">
        <v>2527</v>
      </c>
      <c r="C49" s="408"/>
      <c r="D49" s="450"/>
      <c r="E49" s="462"/>
      <c r="F49" s="409" t="s">
        <v>2486</v>
      </c>
      <c r="G49" s="390"/>
      <c r="H49" s="387"/>
      <c r="I49" s="410"/>
      <c r="K49" s="463"/>
      <c r="L49" s="463"/>
      <c r="M49" s="384"/>
      <c r="N49" s="460"/>
      <c r="O49" s="463"/>
      <c r="P49" s="461"/>
      <c r="Q49" s="384"/>
      <c r="R49" s="445"/>
    </row>
    <row r="50">
      <c r="A50" s="384"/>
      <c r="B50" s="407" t="s">
        <v>2483</v>
      </c>
      <c r="C50" s="408"/>
      <c r="D50" s="450"/>
      <c r="E50" s="462"/>
      <c r="F50" s="409" t="s">
        <v>2486</v>
      </c>
      <c r="G50" s="390"/>
      <c r="H50" s="387"/>
      <c r="I50" s="410"/>
      <c r="K50" s="463"/>
      <c r="L50" s="463"/>
      <c r="M50" s="384"/>
      <c r="N50" s="460"/>
      <c r="O50" s="464"/>
      <c r="R50" s="445"/>
    </row>
    <row r="51">
      <c r="A51" s="384"/>
      <c r="B51" s="407" t="s">
        <v>2488</v>
      </c>
      <c r="C51" s="408"/>
      <c r="D51" s="450"/>
      <c r="E51" s="462"/>
      <c r="F51" s="409" t="s">
        <v>2486</v>
      </c>
      <c r="G51" s="390"/>
      <c r="H51" s="387"/>
      <c r="I51" s="410"/>
      <c r="K51" s="464"/>
      <c r="L51" s="465"/>
      <c r="M51" s="225"/>
      <c r="N51" s="96"/>
      <c r="O51" s="466"/>
      <c r="P51" s="461"/>
      <c r="Q51" s="384"/>
      <c r="R51" s="346"/>
    </row>
    <row r="52" hidden="1">
      <c r="A52" s="384"/>
      <c r="B52" s="407"/>
      <c r="C52" s="408"/>
      <c r="D52" s="387"/>
      <c r="E52" s="388"/>
      <c r="F52" s="409"/>
      <c r="G52" s="390"/>
      <c r="H52" s="387"/>
      <c r="I52" s="410"/>
      <c r="K52" s="380"/>
      <c r="L52" s="380"/>
      <c r="M52" s="381"/>
      <c r="N52" s="382"/>
      <c r="O52" s="380"/>
      <c r="P52" s="383"/>
      <c r="Q52" s="381"/>
      <c r="R52" s="352"/>
    </row>
    <row r="53">
      <c r="B53" s="441"/>
      <c r="C53" s="377"/>
      <c r="E53" s="442"/>
      <c r="F53" s="362"/>
      <c r="G53" s="443"/>
      <c r="I53" s="444"/>
      <c r="K53" s="352"/>
      <c r="L53" s="352"/>
      <c r="N53" s="205"/>
      <c r="O53" s="377"/>
      <c r="P53" s="363"/>
      <c r="R53" s="352"/>
    </row>
    <row r="54">
      <c r="B54" s="413"/>
      <c r="C54" s="414"/>
      <c r="D54" s="415" t="s">
        <v>2514</v>
      </c>
      <c r="E54" s="467"/>
      <c r="F54" s="414"/>
      <c r="G54" s="468"/>
      <c r="H54" s="415" t="s">
        <v>2501</v>
      </c>
      <c r="I54" s="444"/>
      <c r="K54" s="352"/>
      <c r="L54" s="352"/>
      <c r="N54" s="205"/>
      <c r="O54" s="377"/>
      <c r="P54" s="363"/>
      <c r="R54" s="352"/>
    </row>
    <row r="55" hidden="1">
      <c r="B55" s="378"/>
      <c r="C55" s="380"/>
      <c r="D55" s="381"/>
      <c r="E55" s="382"/>
      <c r="F55" s="380"/>
      <c r="G55" s="383"/>
      <c r="H55" s="381"/>
      <c r="I55" s="469"/>
      <c r="K55" s="352"/>
      <c r="L55" s="352"/>
      <c r="N55" s="205"/>
      <c r="O55" s="377"/>
      <c r="P55" s="363"/>
      <c r="R55" s="352"/>
    </row>
    <row r="56">
      <c r="B56" s="419" t="s">
        <v>2523</v>
      </c>
      <c r="C56" s="420"/>
      <c r="D56" s="470"/>
      <c r="F56" s="420" t="s">
        <v>2486</v>
      </c>
      <c r="G56" s="395"/>
      <c r="H56" s="451"/>
      <c r="I56" s="471"/>
      <c r="K56" s="352"/>
      <c r="L56" s="352"/>
      <c r="N56" s="205"/>
      <c r="O56" s="377"/>
      <c r="P56" s="363"/>
      <c r="R56" s="352"/>
    </row>
    <row r="57">
      <c r="B57" s="419" t="s">
        <v>2527</v>
      </c>
      <c r="C57" s="420"/>
      <c r="D57" s="451"/>
      <c r="E57" s="397"/>
      <c r="F57" s="420" t="s">
        <v>2486</v>
      </c>
      <c r="G57" s="395"/>
      <c r="H57" s="451"/>
      <c r="I57" s="471"/>
      <c r="K57" s="352"/>
      <c r="L57" s="352"/>
      <c r="N57" s="205"/>
      <c r="O57" s="377"/>
      <c r="P57" s="363"/>
      <c r="R57" s="352"/>
    </row>
    <row r="58">
      <c r="B58" s="419" t="s">
        <v>2515</v>
      </c>
      <c r="C58" s="420"/>
      <c r="D58" s="451"/>
      <c r="E58" s="397"/>
      <c r="F58" s="472" t="s">
        <v>2486</v>
      </c>
      <c r="H58" s="450"/>
      <c r="I58" s="471"/>
      <c r="K58" s="352"/>
      <c r="L58" s="352"/>
      <c r="N58" s="205"/>
      <c r="O58" s="377"/>
      <c r="P58" s="363"/>
      <c r="R58" s="352"/>
    </row>
    <row r="59">
      <c r="B59" s="473" t="s">
        <v>2521</v>
      </c>
      <c r="C59" s="474"/>
      <c r="D59" s="475"/>
      <c r="E59" s="476"/>
      <c r="F59" s="477" t="s">
        <v>2486</v>
      </c>
      <c r="G59" s="478"/>
      <c r="H59" s="479"/>
      <c r="I59" s="480"/>
      <c r="K59" s="352"/>
      <c r="L59" s="352"/>
      <c r="N59" s="205"/>
      <c r="O59" s="377"/>
      <c r="P59" s="363"/>
      <c r="R59" s="352"/>
    </row>
    <row r="60">
      <c r="B60" s="352"/>
      <c r="C60" s="377"/>
      <c r="E60" s="442"/>
      <c r="F60" s="362"/>
      <c r="G60" s="443"/>
      <c r="I60" s="349"/>
      <c r="K60" s="352"/>
      <c r="L60" s="352"/>
      <c r="N60" s="205"/>
      <c r="O60" s="377"/>
      <c r="P60" s="363"/>
      <c r="R60" s="352"/>
    </row>
    <row r="61">
      <c r="B61" s="352"/>
      <c r="C61" s="377"/>
      <c r="E61" s="442"/>
      <c r="F61" s="362"/>
      <c r="G61" s="443"/>
      <c r="I61" s="349"/>
      <c r="K61" s="352"/>
      <c r="L61" s="352"/>
      <c r="N61" s="205"/>
      <c r="O61" s="377"/>
      <c r="P61" s="363"/>
      <c r="R61" s="352"/>
    </row>
    <row r="62">
      <c r="A62" s="364"/>
      <c r="B62" s="365"/>
      <c r="C62" s="366"/>
      <c r="D62" s="367" t="s">
        <v>2522</v>
      </c>
      <c r="E62" s="368"/>
      <c r="F62" s="369"/>
      <c r="G62" s="370"/>
      <c r="H62" s="367" t="s">
        <v>2480</v>
      </c>
      <c r="I62" s="448"/>
      <c r="K62" s="380"/>
      <c r="L62" s="463"/>
      <c r="M62" s="481"/>
      <c r="N62" s="482"/>
      <c r="O62" s="380"/>
      <c r="P62" s="483"/>
      <c r="Q62" s="481"/>
      <c r="R62" s="352"/>
    </row>
    <row r="63" hidden="1">
      <c r="A63" s="364"/>
      <c r="B63" s="378"/>
      <c r="C63" s="380"/>
      <c r="D63" s="381"/>
      <c r="E63" s="398"/>
      <c r="F63" s="399"/>
      <c r="G63" s="400"/>
      <c r="H63" s="381"/>
      <c r="I63" s="444"/>
      <c r="K63" s="380"/>
      <c r="L63" s="457"/>
      <c r="M63" s="381"/>
      <c r="N63" s="382"/>
      <c r="O63" s="380"/>
      <c r="P63" s="383"/>
      <c r="Q63" s="381"/>
      <c r="R63" s="352"/>
    </row>
    <row r="64" hidden="1">
      <c r="A64" s="384"/>
      <c r="B64" s="385"/>
      <c r="C64" s="386"/>
      <c r="D64" s="451"/>
      <c r="E64" s="388"/>
      <c r="F64" s="389"/>
      <c r="G64" s="390"/>
      <c r="H64" s="451"/>
      <c r="I64" s="437"/>
      <c r="K64" s="484"/>
      <c r="L64" s="463"/>
      <c r="M64" s="396"/>
      <c r="N64" s="397"/>
      <c r="O64" s="484"/>
      <c r="P64" s="395"/>
      <c r="Q64" s="396"/>
      <c r="R64" s="352"/>
    </row>
    <row r="65" hidden="1">
      <c r="A65" s="384"/>
      <c r="B65" s="385"/>
      <c r="C65" s="386"/>
      <c r="D65" s="451"/>
      <c r="E65" s="388"/>
      <c r="F65" s="389"/>
      <c r="G65" s="390"/>
      <c r="H65" s="451"/>
      <c r="I65" s="437"/>
      <c r="K65" s="484"/>
      <c r="L65" s="463"/>
      <c r="M65" s="396"/>
      <c r="N65" s="397"/>
      <c r="O65" s="484"/>
      <c r="P65" s="395"/>
      <c r="Q65" s="396"/>
      <c r="R65" s="352"/>
    </row>
    <row r="66">
      <c r="A66" s="384"/>
      <c r="B66" s="385" t="s">
        <v>2523</v>
      </c>
      <c r="C66" s="386" t="s">
        <v>2524</v>
      </c>
      <c r="D66" s="152" t="s">
        <v>2525</v>
      </c>
      <c r="E66" s="351"/>
      <c r="F66" s="389" t="s">
        <v>2486</v>
      </c>
      <c r="G66" s="152"/>
      <c r="H66" s="152" t="s">
        <v>2526</v>
      </c>
      <c r="I66" s="437"/>
      <c r="K66" s="484"/>
      <c r="L66" s="463"/>
      <c r="M66" s="396"/>
      <c r="N66" s="485"/>
      <c r="O66" s="484"/>
      <c r="P66" s="395"/>
      <c r="Q66" s="396"/>
      <c r="R66" s="363"/>
    </row>
    <row r="67">
      <c r="A67" s="384"/>
      <c r="B67" s="385" t="s">
        <v>2527</v>
      </c>
      <c r="C67" s="386"/>
      <c r="D67" s="450"/>
      <c r="E67" s="388"/>
      <c r="F67" s="389" t="s">
        <v>2486</v>
      </c>
      <c r="G67" s="390"/>
      <c r="H67" s="451"/>
      <c r="I67" s="437"/>
      <c r="K67" s="484"/>
      <c r="L67" s="463"/>
      <c r="M67" s="396"/>
      <c r="N67" s="397"/>
      <c r="O67" s="484"/>
      <c r="P67" s="395"/>
      <c r="Q67" s="396"/>
      <c r="R67" s="363"/>
    </row>
    <row r="68">
      <c r="A68" s="384"/>
      <c r="B68" s="385" t="s">
        <v>2483</v>
      </c>
      <c r="C68" s="386"/>
      <c r="D68" s="450"/>
      <c r="E68" s="388"/>
      <c r="F68" s="389" t="s">
        <v>2486</v>
      </c>
      <c r="G68" s="390"/>
      <c r="H68" s="451"/>
      <c r="I68" s="437"/>
      <c r="K68" s="486"/>
      <c r="L68" s="487"/>
      <c r="M68" s="488"/>
      <c r="N68" s="489"/>
      <c r="O68" s="486"/>
      <c r="P68" s="461"/>
      <c r="Q68" s="384"/>
      <c r="R68" s="363"/>
    </row>
    <row r="69">
      <c r="A69" s="384"/>
      <c r="B69" s="385" t="s">
        <v>2488</v>
      </c>
      <c r="C69" s="386"/>
      <c r="D69" s="490"/>
      <c r="E69" s="491"/>
      <c r="F69" s="389" t="s">
        <v>2486</v>
      </c>
      <c r="G69" s="390"/>
      <c r="H69" s="490"/>
      <c r="I69" s="449"/>
      <c r="K69" s="486"/>
      <c r="L69" s="465"/>
      <c r="M69" s="97"/>
      <c r="N69" s="96"/>
      <c r="O69" s="486"/>
      <c r="P69" s="461"/>
      <c r="Q69" s="384"/>
      <c r="R69" s="363"/>
    </row>
    <row r="70" hidden="1">
      <c r="A70" s="384"/>
      <c r="B70" s="385" t="s">
        <v>2528</v>
      </c>
      <c r="C70" s="386"/>
      <c r="D70" s="396"/>
      <c r="E70" s="388"/>
      <c r="F70" s="389" t="s">
        <v>2486</v>
      </c>
      <c r="G70" s="390"/>
      <c r="H70" s="396"/>
      <c r="I70" s="449"/>
      <c r="K70" s="486"/>
      <c r="L70" s="487"/>
      <c r="M70" s="97"/>
      <c r="N70" s="489"/>
      <c r="O70" s="486"/>
      <c r="P70" s="461"/>
      <c r="R70" s="363"/>
    </row>
    <row r="71">
      <c r="A71" s="364"/>
      <c r="B71" s="378"/>
      <c r="C71" s="380"/>
      <c r="D71" s="392"/>
      <c r="E71" s="492"/>
      <c r="F71" s="399"/>
      <c r="G71" s="493"/>
      <c r="H71" s="392"/>
      <c r="I71" s="444"/>
      <c r="K71" s="380"/>
      <c r="L71" s="457"/>
      <c r="M71" s="384"/>
      <c r="N71" s="460"/>
      <c r="O71" s="380"/>
      <c r="P71" s="459"/>
      <c r="Q71" s="384"/>
      <c r="R71" s="363"/>
    </row>
    <row r="72">
      <c r="A72" s="364"/>
      <c r="B72" s="401"/>
      <c r="C72" s="402"/>
      <c r="D72" s="403" t="s">
        <v>2522</v>
      </c>
      <c r="E72" s="404"/>
      <c r="F72" s="405"/>
      <c r="G72" s="406"/>
      <c r="H72" s="403" t="s">
        <v>2498</v>
      </c>
      <c r="I72" s="444"/>
      <c r="K72" s="380"/>
      <c r="L72" s="457"/>
      <c r="M72" s="481"/>
      <c r="N72" s="482"/>
      <c r="O72" s="380"/>
      <c r="P72" s="483"/>
      <c r="Q72" s="481"/>
      <c r="R72" s="363"/>
    </row>
    <row r="73" hidden="1">
      <c r="B73" s="494"/>
      <c r="C73" s="484"/>
      <c r="D73" s="451"/>
      <c r="E73" s="388"/>
      <c r="F73" s="412"/>
      <c r="G73" s="390"/>
      <c r="H73" s="451"/>
      <c r="I73" s="495"/>
      <c r="K73" s="380"/>
      <c r="L73" s="457"/>
      <c r="M73" s="381"/>
      <c r="N73" s="382"/>
      <c r="O73" s="380"/>
      <c r="P73" s="383"/>
      <c r="Q73" s="381"/>
      <c r="R73" s="363"/>
    </row>
    <row r="74">
      <c r="B74" s="407" t="s">
        <v>2523</v>
      </c>
      <c r="C74" s="408" t="s">
        <v>2524</v>
      </c>
      <c r="D74" s="496" t="s">
        <v>2525</v>
      </c>
      <c r="E74" s="388"/>
      <c r="F74" s="409" t="s">
        <v>2486</v>
      </c>
      <c r="G74" s="390"/>
      <c r="H74" s="497" t="s">
        <v>2526</v>
      </c>
      <c r="I74" s="410"/>
      <c r="K74" s="484"/>
      <c r="L74" s="463"/>
      <c r="M74" s="396"/>
      <c r="N74" s="397"/>
      <c r="O74" s="484"/>
      <c r="P74" s="395"/>
      <c r="Q74" s="396"/>
      <c r="R74" s="363"/>
    </row>
    <row r="75">
      <c r="A75" s="384"/>
      <c r="B75" s="407" t="s">
        <v>2527</v>
      </c>
      <c r="C75" s="408"/>
      <c r="D75" s="470"/>
      <c r="E75" s="388"/>
      <c r="F75" s="409" t="s">
        <v>2486</v>
      </c>
      <c r="G75" s="390"/>
      <c r="H75" s="451"/>
      <c r="I75" s="410"/>
      <c r="K75" s="484"/>
      <c r="L75" s="463"/>
      <c r="M75" s="396"/>
      <c r="N75" s="397"/>
      <c r="O75" s="484"/>
      <c r="P75" s="395"/>
      <c r="Q75" s="396"/>
      <c r="R75" s="363"/>
    </row>
    <row r="76">
      <c r="A76" s="384"/>
      <c r="B76" s="407" t="s">
        <v>2483</v>
      </c>
      <c r="C76" s="408"/>
      <c r="D76" s="451"/>
      <c r="E76" s="388"/>
      <c r="F76" s="409" t="s">
        <v>2486</v>
      </c>
      <c r="G76" s="390"/>
      <c r="H76" s="451"/>
      <c r="I76" s="410"/>
      <c r="K76" s="486"/>
      <c r="L76" s="487"/>
      <c r="M76" s="488"/>
      <c r="N76" s="489"/>
      <c r="O76" s="486"/>
      <c r="P76" s="461"/>
      <c r="Q76" s="384"/>
      <c r="R76" s="363"/>
    </row>
    <row r="77">
      <c r="A77" s="384"/>
      <c r="B77" s="407" t="s">
        <v>2488</v>
      </c>
      <c r="C77" s="408"/>
      <c r="D77" s="450"/>
      <c r="E77" s="388"/>
      <c r="F77" s="405" t="s">
        <v>2486</v>
      </c>
      <c r="G77" s="390"/>
      <c r="H77" s="450"/>
      <c r="I77" s="410"/>
      <c r="K77" s="486"/>
      <c r="L77" s="465"/>
      <c r="M77" s="225"/>
      <c r="N77" s="96"/>
      <c r="O77" s="486"/>
      <c r="P77" s="461"/>
      <c r="Q77" s="384"/>
      <c r="R77" s="363"/>
    </row>
    <row r="78" hidden="1">
      <c r="B78" s="407"/>
      <c r="C78" s="408"/>
      <c r="D78" s="387"/>
      <c r="E78" s="388"/>
      <c r="F78" s="409"/>
      <c r="G78" s="390"/>
      <c r="H78" s="387"/>
      <c r="I78" s="410"/>
      <c r="K78" s="486"/>
      <c r="L78" s="487"/>
      <c r="M78" s="97"/>
      <c r="N78" s="489"/>
      <c r="O78" s="486"/>
      <c r="P78" s="461"/>
      <c r="R78" s="363"/>
    </row>
    <row r="79">
      <c r="B79" s="441"/>
      <c r="C79" s="352"/>
      <c r="E79" s="361"/>
      <c r="F79" s="362"/>
      <c r="G79" s="361"/>
      <c r="I79" s="444"/>
      <c r="K79" s="380"/>
      <c r="L79" s="457"/>
      <c r="M79" s="364"/>
      <c r="N79" s="458"/>
      <c r="O79" s="380"/>
      <c r="P79" s="459"/>
      <c r="Q79" s="384"/>
      <c r="R79" s="363"/>
    </row>
    <row r="80">
      <c r="B80" s="413"/>
      <c r="C80" s="414"/>
      <c r="D80" s="415" t="s">
        <v>2529</v>
      </c>
      <c r="E80" s="467"/>
      <c r="F80" s="414"/>
      <c r="G80" s="468"/>
      <c r="H80" s="415" t="s">
        <v>2501</v>
      </c>
      <c r="I80" s="444"/>
      <c r="K80" s="352"/>
      <c r="L80" s="445"/>
      <c r="N80" s="205"/>
      <c r="O80" s="352"/>
      <c r="P80" s="363"/>
      <c r="R80" s="363"/>
    </row>
    <row r="81" hidden="1">
      <c r="B81" s="413"/>
      <c r="C81" s="414"/>
      <c r="D81" s="381"/>
      <c r="E81" s="382"/>
      <c r="F81" s="380"/>
      <c r="G81" s="383"/>
      <c r="H81" s="381"/>
      <c r="I81" s="469"/>
      <c r="K81" s="352"/>
      <c r="L81" s="445"/>
      <c r="N81" s="205"/>
      <c r="O81" s="377"/>
      <c r="P81" s="363"/>
      <c r="R81" s="363"/>
    </row>
    <row r="82">
      <c r="B82" s="419" t="s">
        <v>2523</v>
      </c>
      <c r="C82" s="420"/>
      <c r="D82" s="470"/>
      <c r="F82" s="420" t="s">
        <v>2486</v>
      </c>
      <c r="G82" s="395"/>
      <c r="H82" s="451"/>
      <c r="I82" s="471"/>
      <c r="K82" s="352"/>
      <c r="L82" s="346"/>
      <c r="N82" s="205"/>
      <c r="O82" s="377"/>
      <c r="P82" s="363"/>
      <c r="R82" s="363"/>
    </row>
    <row r="83">
      <c r="B83" s="419" t="s">
        <v>2527</v>
      </c>
      <c r="C83" s="420"/>
      <c r="D83" s="451"/>
      <c r="E83" s="397"/>
      <c r="F83" s="420" t="s">
        <v>2486</v>
      </c>
      <c r="G83" s="395"/>
      <c r="H83" s="451"/>
      <c r="I83" s="471"/>
      <c r="K83" s="352"/>
      <c r="L83" s="346"/>
      <c r="N83" s="351"/>
      <c r="P83" s="353"/>
      <c r="R83" s="353"/>
    </row>
    <row r="84">
      <c r="B84" s="419" t="s">
        <v>2515</v>
      </c>
      <c r="C84" s="420"/>
      <c r="D84" s="451"/>
      <c r="E84" s="397"/>
      <c r="F84" s="472" t="s">
        <v>2486</v>
      </c>
      <c r="H84" s="450"/>
      <c r="I84" s="498"/>
      <c r="K84" s="352"/>
      <c r="L84" s="445"/>
      <c r="N84" s="351"/>
      <c r="O84" s="346"/>
      <c r="P84" s="353"/>
      <c r="R84" s="353"/>
    </row>
    <row r="85">
      <c r="B85" s="473" t="s">
        <v>2521</v>
      </c>
      <c r="C85" s="474"/>
      <c r="D85" s="475"/>
      <c r="E85" s="499"/>
      <c r="F85" s="477" t="s">
        <v>2486</v>
      </c>
      <c r="G85" s="478"/>
      <c r="H85" s="425"/>
      <c r="I85" s="480"/>
      <c r="K85" s="352"/>
      <c r="L85" s="445"/>
      <c r="N85" s="205"/>
      <c r="O85" s="352"/>
      <c r="P85" s="363"/>
      <c r="R85" s="363"/>
    </row>
    <row r="86">
      <c r="B86" s="463"/>
      <c r="C86" s="463"/>
      <c r="D86" s="384"/>
      <c r="E86" s="384"/>
      <c r="F86" s="463"/>
      <c r="G86" s="384"/>
      <c r="H86" s="384"/>
      <c r="I86" s="500"/>
      <c r="K86" s="352"/>
      <c r="L86" s="346"/>
      <c r="N86" s="351"/>
      <c r="O86" s="352"/>
      <c r="P86" s="363"/>
      <c r="R86" s="363"/>
    </row>
    <row r="87">
      <c r="B87" s="463"/>
      <c r="C87" s="463"/>
      <c r="D87" s="384"/>
      <c r="E87" s="384"/>
      <c r="F87" s="463"/>
      <c r="G87" s="384"/>
      <c r="H87" s="384"/>
      <c r="I87" s="500"/>
      <c r="K87" s="352"/>
      <c r="L87" s="445"/>
      <c r="N87" s="351"/>
      <c r="O87" s="352"/>
      <c r="P87" s="363"/>
      <c r="R87" s="363"/>
    </row>
    <row r="88">
      <c r="B88" s="457"/>
      <c r="C88" s="457"/>
      <c r="D88" s="384"/>
      <c r="E88" s="384"/>
      <c r="F88" s="457"/>
      <c r="G88" s="384"/>
      <c r="H88" s="384"/>
      <c r="I88" s="501"/>
      <c r="K88" s="352"/>
      <c r="L88" s="445"/>
      <c r="N88" s="205"/>
      <c r="O88" s="352"/>
      <c r="P88" s="363"/>
      <c r="R88" s="363"/>
    </row>
    <row r="89">
      <c r="B89" s="431"/>
      <c r="C89" s="431"/>
      <c r="D89" s="432" t="s">
        <v>2479</v>
      </c>
      <c r="E89" s="433"/>
      <c r="F89" s="434"/>
      <c r="G89" s="435"/>
      <c r="H89" s="432" t="s">
        <v>2480</v>
      </c>
      <c r="I89" s="430"/>
      <c r="K89" s="352"/>
      <c r="L89" s="346"/>
      <c r="N89" s="351"/>
      <c r="O89" s="352"/>
      <c r="P89" s="363"/>
      <c r="R89" s="363"/>
    </row>
    <row r="90">
      <c r="B90" s="386" t="s">
        <v>2483</v>
      </c>
      <c r="C90" s="386" t="s">
        <v>2484</v>
      </c>
      <c r="D90" s="387" t="s">
        <v>2485</v>
      </c>
      <c r="E90" s="388" t="s">
        <v>2530</v>
      </c>
      <c r="F90" s="389" t="s">
        <v>2486</v>
      </c>
      <c r="G90" s="390" t="s">
        <v>613</v>
      </c>
      <c r="H90" s="387" t="s">
        <v>612</v>
      </c>
      <c r="I90" s="436" t="s">
        <v>2487</v>
      </c>
      <c r="K90" s="352"/>
      <c r="L90" s="445"/>
      <c r="N90" s="205"/>
      <c r="O90" s="352"/>
      <c r="P90" s="363"/>
      <c r="R90" s="363"/>
    </row>
    <row r="91">
      <c r="B91" s="386" t="s">
        <v>2488</v>
      </c>
      <c r="C91" s="386" t="s">
        <v>2489</v>
      </c>
      <c r="D91" s="387" t="s">
        <v>2490</v>
      </c>
      <c r="E91" s="388" t="s">
        <v>2491</v>
      </c>
      <c r="F91" s="389" t="s">
        <v>2486</v>
      </c>
      <c r="G91" s="390" t="s">
        <v>294</v>
      </c>
      <c r="H91" s="387" t="s">
        <v>2492</v>
      </c>
      <c r="I91" s="436" t="s">
        <v>2487</v>
      </c>
      <c r="K91" s="352"/>
      <c r="L91" s="346"/>
      <c r="N91" s="351"/>
      <c r="O91" s="352"/>
      <c r="P91" s="363"/>
      <c r="R91" s="363"/>
    </row>
    <row r="92">
      <c r="B92" s="457"/>
      <c r="C92" s="457"/>
      <c r="D92" s="384"/>
      <c r="E92" s="384"/>
      <c r="F92" s="457"/>
      <c r="G92" s="384"/>
      <c r="H92" s="384"/>
      <c r="I92" s="446"/>
      <c r="K92" s="352"/>
      <c r="L92" s="445"/>
      <c r="M92" s="152"/>
      <c r="N92" s="351"/>
      <c r="O92" s="346"/>
      <c r="P92" s="353"/>
      <c r="Q92" s="152"/>
      <c r="R92" s="353"/>
    </row>
    <row r="93">
      <c r="B93" s="463"/>
      <c r="C93" s="463"/>
      <c r="D93" s="384"/>
      <c r="E93" s="384"/>
      <c r="F93" s="463"/>
      <c r="G93" s="384"/>
      <c r="H93" s="384"/>
      <c r="I93" s="500"/>
      <c r="K93" s="352"/>
      <c r="L93" s="352"/>
      <c r="N93" s="205"/>
      <c r="O93" s="352"/>
      <c r="P93" s="363"/>
      <c r="R93" s="352"/>
    </row>
    <row r="94">
      <c r="B94" s="431"/>
      <c r="C94" s="431"/>
      <c r="D94" s="432" t="s">
        <v>2505</v>
      </c>
      <c r="E94" s="433"/>
      <c r="F94" s="434"/>
      <c r="G94" s="435"/>
      <c r="H94" s="432" t="s">
        <v>2480</v>
      </c>
      <c r="I94" s="430"/>
      <c r="K94" s="352"/>
      <c r="L94" s="352"/>
      <c r="N94" s="205"/>
      <c r="O94" s="352"/>
      <c r="P94" s="363"/>
      <c r="R94" s="352"/>
    </row>
    <row r="95">
      <c r="B95" s="386" t="s">
        <v>2483</v>
      </c>
      <c r="C95" s="386" t="s">
        <v>2506</v>
      </c>
      <c r="D95" s="387" t="s">
        <v>2507</v>
      </c>
      <c r="E95" s="388"/>
      <c r="F95" s="389" t="s">
        <v>2486</v>
      </c>
      <c r="G95" s="390"/>
      <c r="H95" s="387" t="s">
        <v>2508</v>
      </c>
      <c r="I95" s="436" t="s">
        <v>2509</v>
      </c>
      <c r="K95" s="352"/>
      <c r="L95" s="352"/>
      <c r="N95" s="205"/>
      <c r="O95" s="352"/>
      <c r="P95" s="363"/>
      <c r="R95" s="352"/>
    </row>
    <row r="96">
      <c r="B96" s="408" t="s">
        <v>2483</v>
      </c>
      <c r="C96" s="408" t="s">
        <v>2511</v>
      </c>
      <c r="D96" s="387" t="s">
        <v>2512</v>
      </c>
      <c r="E96" s="388" t="s">
        <v>329</v>
      </c>
      <c r="F96" s="409" t="s">
        <v>2486</v>
      </c>
      <c r="G96" s="390" t="s">
        <v>398</v>
      </c>
      <c r="H96" s="387" t="s">
        <v>2513</v>
      </c>
      <c r="I96" s="440" t="s">
        <v>2509</v>
      </c>
      <c r="K96" s="352"/>
      <c r="L96" s="352"/>
      <c r="N96" s="205"/>
      <c r="O96" s="352"/>
      <c r="P96" s="363"/>
      <c r="R96" s="352"/>
    </row>
    <row r="97">
      <c r="B97" s="445"/>
      <c r="E97" s="442"/>
      <c r="F97" s="348"/>
      <c r="G97" s="443"/>
      <c r="I97" s="502"/>
      <c r="K97" s="352"/>
      <c r="L97" s="352"/>
      <c r="N97" s="205"/>
      <c r="O97" s="352"/>
      <c r="P97" s="363"/>
      <c r="R97" s="352"/>
    </row>
    <row r="98">
      <c r="B98" s="457"/>
      <c r="C98" s="457"/>
      <c r="D98" s="384"/>
      <c r="E98" s="438"/>
      <c r="F98" s="503"/>
      <c r="G98" s="439"/>
      <c r="H98" s="384"/>
      <c r="I98" s="502"/>
      <c r="K98" s="352"/>
      <c r="L98" s="352"/>
      <c r="N98" s="205"/>
      <c r="O98" s="352"/>
      <c r="P98" s="363"/>
      <c r="R98" s="352"/>
    </row>
    <row r="99">
      <c r="B99" s="431"/>
      <c r="C99" s="431"/>
      <c r="D99" s="432" t="s">
        <v>2514</v>
      </c>
      <c r="E99" s="433"/>
      <c r="F99" s="434"/>
      <c r="G99" s="435"/>
      <c r="H99" s="432" t="s">
        <v>2480</v>
      </c>
      <c r="I99" s="349"/>
      <c r="K99" s="352"/>
      <c r="L99" s="352"/>
      <c r="N99" s="205"/>
      <c r="O99" s="352"/>
      <c r="P99" s="363"/>
      <c r="R99" s="352"/>
    </row>
    <row r="100">
      <c r="B100" s="386" t="s">
        <v>2527</v>
      </c>
      <c r="C100" s="386" t="s">
        <v>2516</v>
      </c>
      <c r="D100" s="152" t="s">
        <v>2517</v>
      </c>
      <c r="E100" s="152"/>
      <c r="F100" s="389" t="s">
        <v>2486</v>
      </c>
      <c r="G100" s="152"/>
      <c r="H100" s="152" t="s">
        <v>2520</v>
      </c>
      <c r="I100" s="447" t="s">
        <v>2509</v>
      </c>
      <c r="K100" s="352"/>
      <c r="L100" s="352"/>
      <c r="N100" s="205"/>
      <c r="O100" s="352"/>
      <c r="P100" s="363"/>
      <c r="R100" s="352"/>
    </row>
    <row r="101">
      <c r="B101" s="386" t="s">
        <v>2483</v>
      </c>
      <c r="C101" s="386"/>
      <c r="D101" s="387"/>
      <c r="E101" s="388"/>
      <c r="F101" s="389" t="s">
        <v>2486</v>
      </c>
      <c r="G101" s="390"/>
      <c r="H101" s="387"/>
      <c r="I101" s="447"/>
      <c r="K101" s="352"/>
      <c r="L101" s="352"/>
      <c r="N101" s="205"/>
      <c r="O101" s="352"/>
      <c r="P101" s="363"/>
      <c r="R101" s="352"/>
    </row>
    <row r="102">
      <c r="B102" s="463"/>
      <c r="C102" s="504"/>
      <c r="D102" s="505"/>
      <c r="E102" s="506"/>
      <c r="F102" s="507"/>
      <c r="G102" s="508"/>
      <c r="H102" s="505"/>
      <c r="I102" s="502"/>
      <c r="K102" s="352"/>
      <c r="L102" s="352"/>
      <c r="N102" s="205"/>
      <c r="O102" s="352"/>
      <c r="P102" s="363"/>
      <c r="R102" s="352"/>
    </row>
    <row r="103">
      <c r="B103" s="457"/>
      <c r="C103" s="457"/>
      <c r="D103" s="364"/>
      <c r="E103" s="509"/>
      <c r="F103" s="503"/>
      <c r="G103" s="510"/>
      <c r="H103" s="364"/>
      <c r="I103" s="502"/>
      <c r="K103" s="352"/>
      <c r="L103" s="352"/>
      <c r="N103" s="205"/>
      <c r="O103" s="352"/>
      <c r="P103" s="363"/>
      <c r="R103" s="352"/>
    </row>
    <row r="104">
      <c r="B104" s="431"/>
      <c r="C104" s="431"/>
      <c r="D104" s="432" t="s">
        <v>2522</v>
      </c>
      <c r="E104" s="433"/>
      <c r="F104" s="434"/>
      <c r="G104" s="435"/>
      <c r="H104" s="432" t="s">
        <v>2480</v>
      </c>
      <c r="I104" s="349"/>
      <c r="K104" s="352"/>
      <c r="L104" s="352"/>
      <c r="N104" s="205"/>
      <c r="O104" s="352"/>
      <c r="P104" s="363"/>
      <c r="R104" s="352"/>
    </row>
    <row r="105">
      <c r="B105" s="386" t="s">
        <v>2527</v>
      </c>
      <c r="C105" s="386" t="s">
        <v>2524</v>
      </c>
      <c r="D105" s="152" t="s">
        <v>2525</v>
      </c>
      <c r="E105" s="351"/>
      <c r="F105" s="389" t="s">
        <v>2486</v>
      </c>
      <c r="G105" s="152"/>
      <c r="H105" s="152" t="s">
        <v>2526</v>
      </c>
      <c r="I105" s="447" t="s">
        <v>2509</v>
      </c>
      <c r="K105" s="352"/>
      <c r="L105" s="352"/>
      <c r="N105" s="205"/>
      <c r="O105" s="352"/>
      <c r="P105" s="363"/>
      <c r="R105" s="352"/>
    </row>
    <row r="106">
      <c r="B106" s="386" t="s">
        <v>2483</v>
      </c>
      <c r="C106" s="386"/>
      <c r="D106" s="387"/>
      <c r="E106" s="388"/>
      <c r="F106" s="389" t="s">
        <v>2486</v>
      </c>
      <c r="G106" s="390"/>
      <c r="H106" s="387"/>
      <c r="I106" s="447"/>
      <c r="K106" s="352"/>
      <c r="L106" s="352"/>
      <c r="N106" s="205"/>
      <c r="O106" s="352"/>
      <c r="P106" s="363"/>
      <c r="R106" s="352"/>
    </row>
    <row r="107">
      <c r="B107" s="445"/>
      <c r="E107" s="442"/>
      <c r="F107" s="348"/>
      <c r="G107" s="443"/>
      <c r="I107" s="502"/>
      <c r="K107" s="352"/>
      <c r="L107" s="352"/>
      <c r="N107" s="205"/>
      <c r="O107" s="352"/>
      <c r="P107" s="363"/>
      <c r="R107" s="352"/>
    </row>
    <row r="108">
      <c r="B108" s="445"/>
      <c r="E108" s="442"/>
      <c r="F108" s="348"/>
      <c r="G108" s="443"/>
      <c r="I108" s="502"/>
      <c r="K108" s="352"/>
      <c r="L108" s="352"/>
      <c r="N108" s="205"/>
      <c r="O108" s="352"/>
      <c r="P108" s="363"/>
      <c r="R108" s="352"/>
    </row>
    <row r="109">
      <c r="B109" s="457"/>
      <c r="C109" s="457"/>
      <c r="D109" s="384"/>
      <c r="E109" s="438"/>
      <c r="F109" s="503"/>
      <c r="G109" s="439"/>
      <c r="H109" s="384"/>
      <c r="I109" s="502"/>
      <c r="K109" s="352"/>
      <c r="L109" s="352"/>
      <c r="N109" s="205"/>
      <c r="O109" s="352"/>
      <c r="P109" s="363"/>
      <c r="R109" s="352"/>
    </row>
    <row r="110" hidden="1">
      <c r="B110" s="457"/>
      <c r="C110" s="457"/>
      <c r="D110" s="364"/>
      <c r="E110" s="509"/>
      <c r="F110" s="503"/>
      <c r="G110" s="510"/>
      <c r="H110" s="364"/>
      <c r="I110" s="502"/>
      <c r="K110" s="352"/>
      <c r="L110" s="352"/>
      <c r="N110" s="205"/>
      <c r="O110" s="352"/>
      <c r="P110" s="363"/>
      <c r="R110" s="352"/>
    </row>
    <row r="111">
      <c r="B111" s="463"/>
      <c r="C111" s="463"/>
      <c r="D111" s="384"/>
      <c r="E111" s="438"/>
      <c r="F111" s="511"/>
      <c r="G111" s="439"/>
      <c r="H111" s="384"/>
      <c r="I111" s="502"/>
      <c r="K111" s="352"/>
      <c r="L111" s="352"/>
      <c r="N111" s="205"/>
      <c r="O111" s="352"/>
      <c r="P111" s="363"/>
      <c r="R111" s="352"/>
    </row>
    <row r="112">
      <c r="B112" s="463"/>
      <c r="C112" s="463"/>
      <c r="D112" s="384"/>
      <c r="E112" s="438"/>
      <c r="F112" s="511"/>
      <c r="G112" s="439"/>
      <c r="H112" s="384"/>
      <c r="I112" s="502"/>
      <c r="K112" s="352"/>
      <c r="L112" s="352"/>
      <c r="N112" s="205"/>
      <c r="O112" s="352"/>
      <c r="P112" s="363"/>
      <c r="R112" s="352"/>
    </row>
    <row r="113">
      <c r="B113" s="463"/>
      <c r="C113" s="463"/>
      <c r="D113" s="384"/>
      <c r="E113" s="438"/>
      <c r="F113" s="511"/>
      <c r="G113" s="439"/>
      <c r="H113" s="384"/>
      <c r="I113" s="502"/>
      <c r="K113" s="352"/>
      <c r="L113" s="352"/>
      <c r="N113" s="205"/>
      <c r="O113" s="352"/>
      <c r="P113" s="363"/>
      <c r="R113" s="352"/>
    </row>
    <row r="114">
      <c r="B114" s="463"/>
      <c r="C114" s="463"/>
      <c r="D114" s="384"/>
      <c r="E114" s="438"/>
      <c r="F114" s="511"/>
      <c r="G114" s="439"/>
      <c r="H114" s="384"/>
      <c r="I114" s="502"/>
      <c r="K114" s="352"/>
      <c r="L114" s="352"/>
      <c r="N114" s="205"/>
      <c r="O114" s="352"/>
      <c r="P114" s="363"/>
      <c r="R114" s="352"/>
    </row>
    <row r="115">
      <c r="B115" s="463"/>
      <c r="C115" s="463"/>
      <c r="D115" s="384"/>
      <c r="E115" s="438"/>
      <c r="F115" s="511"/>
      <c r="G115" s="439"/>
      <c r="H115" s="384"/>
      <c r="I115" s="502"/>
      <c r="K115" s="352"/>
      <c r="L115" s="352"/>
      <c r="N115" s="205"/>
      <c r="O115" s="352"/>
      <c r="P115" s="363"/>
      <c r="R115" s="352"/>
    </row>
    <row r="116">
      <c r="B116" s="457"/>
      <c r="C116" s="457"/>
      <c r="D116" s="364"/>
      <c r="E116" s="509"/>
      <c r="F116" s="503"/>
      <c r="G116" s="510"/>
      <c r="H116" s="364"/>
      <c r="I116" s="502"/>
      <c r="K116" s="352"/>
      <c r="L116" s="352"/>
      <c r="N116" s="205"/>
      <c r="O116" s="352"/>
      <c r="P116" s="363"/>
      <c r="R116" s="352"/>
    </row>
    <row r="117">
      <c r="B117" s="457"/>
      <c r="C117" s="457"/>
      <c r="D117" s="384"/>
      <c r="E117" s="438"/>
      <c r="F117" s="503"/>
      <c r="G117" s="439"/>
      <c r="H117" s="384"/>
      <c r="I117" s="502"/>
      <c r="K117" s="352"/>
      <c r="L117" s="352"/>
      <c r="N117" s="205"/>
      <c r="O117" s="352"/>
      <c r="P117" s="363"/>
      <c r="R117" s="352"/>
    </row>
    <row r="118" hidden="1">
      <c r="B118" s="445"/>
      <c r="E118" s="442"/>
      <c r="F118" s="348"/>
      <c r="G118" s="443"/>
      <c r="I118" s="502"/>
      <c r="K118" s="352"/>
      <c r="L118" s="352"/>
      <c r="N118" s="205"/>
      <c r="O118" s="352"/>
      <c r="P118" s="363"/>
      <c r="R118" s="352"/>
    </row>
    <row r="119">
      <c r="B119" s="463"/>
      <c r="C119" s="463"/>
      <c r="D119" s="384"/>
      <c r="E119" s="438"/>
      <c r="F119" s="511"/>
      <c r="G119" s="439"/>
      <c r="H119" s="384"/>
      <c r="I119" s="501"/>
      <c r="K119" s="352"/>
      <c r="L119" s="352"/>
      <c r="N119" s="205"/>
      <c r="O119" s="352"/>
      <c r="P119" s="363"/>
      <c r="R119" s="352"/>
    </row>
    <row r="120">
      <c r="B120" s="463"/>
      <c r="C120" s="463"/>
      <c r="D120" s="384"/>
      <c r="E120" s="438"/>
      <c r="F120" s="511"/>
      <c r="G120" s="439"/>
      <c r="H120" s="384"/>
      <c r="I120" s="501"/>
      <c r="K120" s="352"/>
      <c r="L120" s="352"/>
      <c r="N120" s="205"/>
      <c r="O120" s="352"/>
      <c r="P120" s="363"/>
      <c r="R120" s="352"/>
    </row>
    <row r="121">
      <c r="B121" s="463"/>
      <c r="C121" s="463"/>
      <c r="D121" s="384"/>
      <c r="E121" s="438"/>
      <c r="F121" s="511"/>
      <c r="G121" s="439"/>
      <c r="H121" s="384"/>
      <c r="I121" s="501"/>
      <c r="K121" s="352"/>
      <c r="L121" s="352"/>
      <c r="N121" s="205"/>
      <c r="O121" s="352"/>
      <c r="P121" s="363"/>
      <c r="R121" s="352"/>
    </row>
    <row r="122">
      <c r="B122" s="352"/>
      <c r="C122" s="352"/>
      <c r="E122" s="361"/>
      <c r="F122" s="362"/>
      <c r="G122" s="361"/>
      <c r="I122" s="349"/>
      <c r="K122" s="352"/>
      <c r="L122" s="352"/>
      <c r="N122" s="205"/>
      <c r="O122" s="352"/>
      <c r="P122" s="363"/>
      <c r="R122" s="352"/>
    </row>
    <row r="123">
      <c r="B123" s="352"/>
      <c r="C123" s="352"/>
      <c r="E123" s="361"/>
      <c r="F123" s="362"/>
      <c r="G123" s="361"/>
      <c r="I123" s="349"/>
      <c r="K123" s="352"/>
      <c r="L123" s="352"/>
      <c r="N123" s="205"/>
      <c r="O123" s="352"/>
      <c r="P123" s="363"/>
      <c r="R123" s="352"/>
    </row>
    <row r="124">
      <c r="B124" s="352"/>
      <c r="C124" s="352"/>
      <c r="E124" s="361"/>
      <c r="F124" s="362"/>
      <c r="G124" s="361"/>
      <c r="I124" s="349"/>
      <c r="K124" s="352"/>
      <c r="L124" s="352"/>
      <c r="N124" s="205"/>
      <c r="O124" s="352"/>
      <c r="P124" s="363"/>
      <c r="R124" s="352"/>
    </row>
    <row r="125">
      <c r="B125" s="352"/>
      <c r="C125" s="352"/>
      <c r="E125" s="361"/>
      <c r="F125" s="362"/>
      <c r="G125" s="361"/>
      <c r="I125" s="349"/>
      <c r="K125" s="352"/>
      <c r="L125" s="352"/>
      <c r="N125" s="205"/>
      <c r="O125" s="352"/>
      <c r="P125" s="363"/>
      <c r="R125" s="352"/>
    </row>
    <row r="126">
      <c r="B126" s="352"/>
      <c r="C126" s="352"/>
      <c r="E126" s="361"/>
      <c r="F126" s="362"/>
      <c r="G126" s="361"/>
      <c r="I126" s="349"/>
      <c r="K126" s="352"/>
      <c r="L126" s="352"/>
      <c r="N126" s="205"/>
      <c r="O126" s="352"/>
      <c r="P126" s="363"/>
      <c r="R126" s="352"/>
    </row>
    <row r="127">
      <c r="B127" s="352"/>
      <c r="C127" s="352"/>
      <c r="E127" s="361"/>
      <c r="F127" s="362"/>
      <c r="G127" s="361"/>
      <c r="I127" s="349"/>
      <c r="K127" s="352"/>
      <c r="L127" s="352"/>
      <c r="N127" s="205"/>
      <c r="O127" s="352"/>
      <c r="P127" s="363"/>
      <c r="R127" s="352"/>
    </row>
    <row r="128">
      <c r="B128" s="352"/>
      <c r="C128" s="352"/>
      <c r="E128" s="361"/>
      <c r="F128" s="362"/>
      <c r="G128" s="361"/>
      <c r="I128" s="349"/>
      <c r="K128" s="352"/>
      <c r="L128" s="352"/>
      <c r="N128" s="205"/>
      <c r="O128" s="352"/>
      <c r="P128" s="363"/>
      <c r="R128" s="352"/>
    </row>
    <row r="129">
      <c r="B129" s="352"/>
      <c r="C129" s="352"/>
      <c r="E129" s="361"/>
      <c r="F129" s="362"/>
      <c r="G129" s="361"/>
      <c r="I129" s="349"/>
      <c r="K129" s="352"/>
      <c r="L129" s="352"/>
      <c r="N129" s="205"/>
      <c r="O129" s="352"/>
      <c r="P129" s="363"/>
      <c r="R129" s="352"/>
    </row>
    <row r="130">
      <c r="B130" s="352"/>
      <c r="C130" s="352"/>
      <c r="E130" s="361"/>
      <c r="F130" s="362"/>
      <c r="G130" s="361"/>
      <c r="I130" s="349"/>
      <c r="K130" s="352"/>
      <c r="L130" s="352"/>
      <c r="N130" s="205"/>
      <c r="O130" s="352"/>
      <c r="P130" s="363"/>
      <c r="R130" s="352"/>
    </row>
    <row r="131">
      <c r="B131" s="352"/>
      <c r="C131" s="352"/>
      <c r="E131" s="361"/>
      <c r="F131" s="362"/>
      <c r="G131" s="361"/>
      <c r="I131" s="349"/>
      <c r="K131" s="352"/>
      <c r="L131" s="352"/>
      <c r="N131" s="205"/>
      <c r="O131" s="352"/>
      <c r="P131" s="363"/>
      <c r="R131" s="352"/>
    </row>
    <row r="132">
      <c r="B132" s="352"/>
      <c r="C132" s="352"/>
      <c r="E132" s="361"/>
      <c r="F132" s="362"/>
      <c r="G132" s="361"/>
      <c r="I132" s="349"/>
      <c r="K132" s="352"/>
      <c r="L132" s="352"/>
      <c r="N132" s="205"/>
      <c r="O132" s="352"/>
      <c r="P132" s="363"/>
      <c r="R132" s="352"/>
    </row>
    <row r="133">
      <c r="B133" s="352"/>
      <c r="C133" s="352"/>
      <c r="E133" s="361"/>
      <c r="F133" s="362"/>
      <c r="G133" s="361"/>
      <c r="I133" s="349"/>
      <c r="K133" s="352"/>
      <c r="L133" s="352"/>
      <c r="N133" s="205"/>
      <c r="O133" s="352"/>
      <c r="P133" s="363"/>
      <c r="R133" s="352"/>
    </row>
    <row r="134">
      <c r="B134" s="352"/>
      <c r="C134" s="352"/>
      <c r="E134" s="361"/>
      <c r="F134" s="362"/>
      <c r="G134" s="361"/>
      <c r="I134" s="349"/>
      <c r="K134" s="352"/>
      <c r="L134" s="352"/>
      <c r="N134" s="205"/>
      <c r="O134" s="352"/>
      <c r="P134" s="363"/>
      <c r="R134" s="352"/>
    </row>
    <row r="135">
      <c r="B135" s="352"/>
      <c r="C135" s="352"/>
      <c r="E135" s="361"/>
      <c r="F135" s="362"/>
      <c r="G135" s="361"/>
      <c r="I135" s="349"/>
      <c r="K135" s="352"/>
      <c r="L135" s="352"/>
      <c r="N135" s="205"/>
      <c r="O135" s="352"/>
      <c r="P135" s="363"/>
      <c r="R135" s="352"/>
    </row>
    <row r="136">
      <c r="B136" s="352"/>
      <c r="C136" s="352"/>
      <c r="E136" s="361"/>
      <c r="F136" s="362"/>
      <c r="G136" s="361"/>
      <c r="I136" s="349"/>
      <c r="K136" s="352"/>
      <c r="L136" s="352"/>
      <c r="N136" s="205"/>
      <c r="O136" s="352"/>
      <c r="P136" s="363"/>
      <c r="R136" s="352"/>
    </row>
    <row r="137">
      <c r="B137" s="352"/>
      <c r="C137" s="352"/>
      <c r="E137" s="361"/>
      <c r="F137" s="362"/>
      <c r="G137" s="361"/>
      <c r="I137" s="349"/>
      <c r="K137" s="352"/>
      <c r="L137" s="352"/>
      <c r="N137" s="205"/>
      <c r="O137" s="352"/>
      <c r="P137" s="363"/>
      <c r="R137" s="352"/>
    </row>
    <row r="138">
      <c r="B138" s="352"/>
      <c r="C138" s="352"/>
      <c r="E138" s="361"/>
      <c r="F138" s="362"/>
      <c r="G138" s="361"/>
      <c r="I138" s="349"/>
      <c r="K138" s="352"/>
      <c r="L138" s="352"/>
      <c r="N138" s="205"/>
      <c r="O138" s="352"/>
      <c r="P138" s="363"/>
      <c r="R138" s="352"/>
    </row>
    <row r="139">
      <c r="B139" s="352"/>
      <c r="C139" s="352"/>
      <c r="E139" s="361"/>
      <c r="F139" s="362"/>
      <c r="G139" s="361"/>
      <c r="I139" s="349"/>
      <c r="K139" s="352"/>
      <c r="L139" s="352"/>
      <c r="N139" s="205"/>
      <c r="O139" s="352"/>
      <c r="P139" s="363"/>
      <c r="R139" s="352"/>
    </row>
    <row r="140">
      <c r="B140" s="352"/>
      <c r="C140" s="352"/>
      <c r="E140" s="361"/>
      <c r="F140" s="362"/>
      <c r="G140" s="361"/>
      <c r="I140" s="349"/>
      <c r="K140" s="352"/>
      <c r="L140" s="352"/>
      <c r="N140" s="205"/>
      <c r="O140" s="352"/>
      <c r="P140" s="363"/>
      <c r="R140" s="352"/>
    </row>
    <row r="141">
      <c r="B141" s="352"/>
      <c r="C141" s="352"/>
      <c r="E141" s="361"/>
      <c r="F141" s="362"/>
      <c r="G141" s="361"/>
      <c r="I141" s="349"/>
      <c r="K141" s="352"/>
      <c r="L141" s="352"/>
      <c r="N141" s="205"/>
      <c r="O141" s="352"/>
      <c r="P141" s="363"/>
      <c r="R141" s="352"/>
    </row>
    <row r="142">
      <c r="B142" s="352"/>
      <c r="C142" s="352"/>
      <c r="E142" s="361"/>
      <c r="F142" s="362"/>
      <c r="G142" s="361"/>
      <c r="I142" s="349"/>
      <c r="K142" s="352"/>
      <c r="L142" s="352"/>
      <c r="N142" s="205"/>
      <c r="O142" s="352"/>
      <c r="P142" s="363"/>
      <c r="R142" s="352"/>
    </row>
    <row r="143">
      <c r="B143" s="352"/>
      <c r="C143" s="352"/>
      <c r="E143" s="361"/>
      <c r="F143" s="362"/>
      <c r="G143" s="361"/>
      <c r="I143" s="349"/>
      <c r="K143" s="352"/>
      <c r="L143" s="352"/>
      <c r="N143" s="205"/>
      <c r="O143" s="352"/>
      <c r="P143" s="363"/>
      <c r="R143" s="352"/>
    </row>
    <row r="144">
      <c r="B144" s="352"/>
      <c r="C144" s="352"/>
      <c r="E144" s="361"/>
      <c r="F144" s="362"/>
      <c r="G144" s="361"/>
      <c r="I144" s="349"/>
      <c r="K144" s="352"/>
      <c r="L144" s="352"/>
      <c r="N144" s="205"/>
      <c r="O144" s="352"/>
      <c r="P144" s="363"/>
      <c r="R144" s="352"/>
    </row>
    <row r="145">
      <c r="B145" s="352"/>
      <c r="C145" s="352"/>
      <c r="E145" s="361"/>
      <c r="F145" s="362"/>
      <c r="G145" s="361"/>
      <c r="I145" s="349"/>
      <c r="K145" s="352"/>
      <c r="L145" s="352"/>
      <c r="N145" s="205"/>
      <c r="O145" s="352"/>
      <c r="P145" s="363"/>
      <c r="R145" s="352"/>
    </row>
    <row r="146">
      <c r="B146" s="352"/>
      <c r="C146" s="352"/>
      <c r="E146" s="361"/>
      <c r="F146" s="362"/>
      <c r="G146" s="361"/>
      <c r="I146" s="349"/>
      <c r="K146" s="352"/>
      <c r="L146" s="352"/>
      <c r="N146" s="205"/>
      <c r="O146" s="352"/>
      <c r="P146" s="363"/>
      <c r="R146" s="352"/>
    </row>
    <row r="147">
      <c r="B147" s="352"/>
      <c r="C147" s="352"/>
      <c r="E147" s="361"/>
      <c r="F147" s="362"/>
      <c r="G147" s="361"/>
      <c r="I147" s="349"/>
      <c r="K147" s="352"/>
      <c r="L147" s="352"/>
      <c r="N147" s="205"/>
      <c r="O147" s="352"/>
      <c r="P147" s="363"/>
      <c r="R147" s="352"/>
    </row>
    <row r="148">
      <c r="B148" s="352"/>
      <c r="C148" s="352"/>
      <c r="E148" s="361"/>
      <c r="F148" s="362"/>
      <c r="G148" s="361"/>
      <c r="I148" s="349"/>
      <c r="K148" s="352"/>
      <c r="L148" s="352"/>
      <c r="N148" s="205"/>
      <c r="O148" s="352"/>
      <c r="P148" s="363"/>
      <c r="R148" s="352"/>
    </row>
    <row r="149">
      <c r="B149" s="352"/>
      <c r="C149" s="352"/>
      <c r="E149" s="361"/>
      <c r="F149" s="362"/>
      <c r="G149" s="361"/>
      <c r="I149" s="349"/>
      <c r="K149" s="352"/>
      <c r="L149" s="352"/>
      <c r="N149" s="205"/>
      <c r="O149" s="352"/>
      <c r="P149" s="363"/>
      <c r="R149" s="352"/>
    </row>
    <row r="150">
      <c r="B150" s="352"/>
      <c r="C150" s="352"/>
      <c r="E150" s="361"/>
      <c r="F150" s="362"/>
      <c r="G150" s="361"/>
      <c r="I150" s="349"/>
      <c r="K150" s="352"/>
      <c r="L150" s="352"/>
      <c r="N150" s="205"/>
      <c r="O150" s="352"/>
      <c r="P150" s="363"/>
      <c r="R150" s="352"/>
    </row>
    <row r="151">
      <c r="B151" s="352"/>
      <c r="C151" s="352"/>
      <c r="E151" s="361"/>
      <c r="F151" s="362"/>
      <c r="G151" s="361"/>
      <c r="I151" s="349"/>
      <c r="K151" s="352"/>
      <c r="L151" s="352"/>
      <c r="N151" s="205"/>
      <c r="O151" s="352"/>
      <c r="P151" s="363"/>
      <c r="R151" s="352"/>
    </row>
    <row r="152">
      <c r="B152" s="352"/>
      <c r="C152" s="352"/>
      <c r="E152" s="361"/>
      <c r="F152" s="362"/>
      <c r="G152" s="361"/>
      <c r="I152" s="349"/>
      <c r="K152" s="352"/>
      <c r="L152" s="352"/>
      <c r="N152" s="205"/>
      <c r="O152" s="352"/>
      <c r="P152" s="363"/>
      <c r="R152" s="352"/>
    </row>
    <row r="153">
      <c r="B153" s="352"/>
      <c r="C153" s="352"/>
      <c r="E153" s="361"/>
      <c r="F153" s="362"/>
      <c r="G153" s="361"/>
      <c r="I153" s="349"/>
      <c r="K153" s="352"/>
      <c r="L153" s="352"/>
      <c r="N153" s="205"/>
      <c r="O153" s="352"/>
      <c r="P153" s="363"/>
      <c r="R153" s="352"/>
    </row>
    <row r="154">
      <c r="B154" s="352"/>
      <c r="C154" s="352"/>
      <c r="E154" s="361"/>
      <c r="F154" s="362"/>
      <c r="G154" s="361"/>
      <c r="I154" s="349"/>
      <c r="K154" s="352"/>
      <c r="L154" s="352"/>
      <c r="N154" s="205"/>
      <c r="O154" s="352"/>
      <c r="P154" s="363"/>
      <c r="R154" s="352"/>
    </row>
    <row r="155">
      <c r="B155" s="352"/>
      <c r="C155" s="352"/>
      <c r="E155" s="361"/>
      <c r="F155" s="362"/>
      <c r="G155" s="361"/>
      <c r="I155" s="349"/>
      <c r="K155" s="352"/>
      <c r="L155" s="352"/>
      <c r="N155" s="205"/>
      <c r="O155" s="352"/>
      <c r="P155" s="363"/>
      <c r="R155" s="352"/>
    </row>
    <row r="156">
      <c r="B156" s="352"/>
      <c r="C156" s="352"/>
      <c r="E156" s="361"/>
      <c r="F156" s="362"/>
      <c r="G156" s="361"/>
      <c r="I156" s="349"/>
      <c r="K156" s="352"/>
      <c r="L156" s="352"/>
      <c r="N156" s="205"/>
      <c r="O156" s="352"/>
      <c r="P156" s="363"/>
      <c r="R156" s="352"/>
    </row>
    <row r="157">
      <c r="B157" s="352"/>
      <c r="C157" s="352"/>
      <c r="E157" s="361"/>
      <c r="F157" s="362"/>
      <c r="G157" s="361"/>
      <c r="I157" s="349"/>
      <c r="K157" s="352"/>
      <c r="L157" s="352"/>
      <c r="N157" s="205"/>
      <c r="O157" s="352"/>
      <c r="P157" s="363"/>
      <c r="R157" s="352"/>
    </row>
    <row r="158">
      <c r="B158" s="352"/>
      <c r="C158" s="352"/>
      <c r="E158" s="361"/>
      <c r="F158" s="362"/>
      <c r="G158" s="361"/>
      <c r="I158" s="349"/>
      <c r="K158" s="352"/>
      <c r="L158" s="352"/>
      <c r="N158" s="205"/>
      <c r="O158" s="352"/>
      <c r="P158" s="363"/>
      <c r="R158" s="352"/>
    </row>
    <row r="159">
      <c r="B159" s="352"/>
      <c r="C159" s="352"/>
      <c r="E159" s="361"/>
      <c r="F159" s="362"/>
      <c r="G159" s="361"/>
      <c r="I159" s="349"/>
      <c r="K159" s="352"/>
      <c r="L159" s="352"/>
      <c r="N159" s="205"/>
      <c r="O159" s="352"/>
      <c r="P159" s="363"/>
      <c r="R159" s="352"/>
    </row>
    <row r="160">
      <c r="B160" s="352"/>
      <c r="C160" s="352"/>
      <c r="E160" s="361"/>
      <c r="F160" s="362"/>
      <c r="G160" s="361"/>
      <c r="I160" s="349"/>
      <c r="K160" s="352"/>
      <c r="L160" s="352"/>
      <c r="N160" s="205"/>
      <c r="O160" s="352"/>
      <c r="P160" s="363"/>
      <c r="R160" s="352"/>
    </row>
    <row r="161">
      <c r="B161" s="352"/>
      <c r="C161" s="352"/>
      <c r="E161" s="361"/>
      <c r="F161" s="362"/>
      <c r="G161" s="361"/>
      <c r="I161" s="349"/>
      <c r="K161" s="352"/>
      <c r="L161" s="352"/>
      <c r="N161" s="205"/>
      <c r="O161" s="352"/>
      <c r="P161" s="363"/>
      <c r="R161" s="352"/>
    </row>
    <row r="162">
      <c r="B162" s="352"/>
      <c r="C162" s="352"/>
      <c r="E162" s="361"/>
      <c r="F162" s="362"/>
      <c r="G162" s="361"/>
      <c r="I162" s="349"/>
      <c r="K162" s="352"/>
      <c r="L162" s="352"/>
      <c r="N162" s="205"/>
      <c r="O162" s="352"/>
      <c r="P162" s="363"/>
      <c r="R162" s="352"/>
    </row>
    <row r="163">
      <c r="B163" s="352"/>
      <c r="C163" s="352"/>
      <c r="E163" s="361"/>
      <c r="F163" s="362"/>
      <c r="G163" s="361"/>
      <c r="I163" s="349"/>
      <c r="K163" s="352"/>
      <c r="L163" s="352"/>
      <c r="N163" s="205"/>
      <c r="O163" s="352"/>
      <c r="P163" s="363"/>
      <c r="R163" s="352"/>
    </row>
    <row r="164">
      <c r="B164" s="352"/>
      <c r="C164" s="352"/>
      <c r="E164" s="361"/>
      <c r="F164" s="362"/>
      <c r="G164" s="361"/>
      <c r="I164" s="349"/>
      <c r="K164" s="352"/>
      <c r="L164" s="352"/>
      <c r="N164" s="205"/>
      <c r="O164" s="352"/>
      <c r="P164" s="363"/>
      <c r="R164" s="352"/>
    </row>
    <row r="165">
      <c r="B165" s="352"/>
      <c r="C165" s="352"/>
      <c r="E165" s="361"/>
      <c r="F165" s="362"/>
      <c r="G165" s="361"/>
      <c r="I165" s="349"/>
      <c r="K165" s="352"/>
      <c r="L165" s="352"/>
      <c r="N165" s="205"/>
      <c r="O165" s="352"/>
      <c r="P165" s="363"/>
      <c r="R165" s="352"/>
    </row>
    <row r="166">
      <c r="B166" s="352"/>
      <c r="C166" s="352"/>
      <c r="E166" s="361"/>
      <c r="F166" s="362"/>
      <c r="G166" s="361"/>
      <c r="I166" s="349"/>
      <c r="K166" s="352"/>
      <c r="L166" s="352"/>
      <c r="N166" s="205"/>
      <c r="O166" s="352"/>
      <c r="P166" s="363"/>
      <c r="R166" s="352"/>
    </row>
    <row r="167">
      <c r="B167" s="352"/>
      <c r="C167" s="352"/>
      <c r="E167" s="361"/>
      <c r="F167" s="362"/>
      <c r="G167" s="361"/>
      <c r="I167" s="349"/>
      <c r="K167" s="352"/>
      <c r="L167" s="352"/>
      <c r="N167" s="205"/>
      <c r="O167" s="352"/>
      <c r="P167" s="363"/>
      <c r="R167" s="352"/>
    </row>
    <row r="168">
      <c r="B168" s="352"/>
      <c r="C168" s="352"/>
      <c r="E168" s="361"/>
      <c r="F168" s="362"/>
      <c r="G168" s="361"/>
      <c r="I168" s="349"/>
      <c r="K168" s="352"/>
      <c r="L168" s="352"/>
      <c r="N168" s="205"/>
      <c r="O168" s="352"/>
      <c r="P168" s="363"/>
      <c r="R168" s="352"/>
    </row>
    <row r="169">
      <c r="B169" s="352"/>
      <c r="C169" s="352"/>
      <c r="E169" s="361"/>
      <c r="F169" s="362"/>
      <c r="G169" s="361"/>
      <c r="I169" s="349"/>
      <c r="K169" s="352"/>
      <c r="L169" s="352"/>
      <c r="N169" s="205"/>
      <c r="O169" s="352"/>
      <c r="P169" s="363"/>
      <c r="R169" s="352"/>
    </row>
    <row r="170">
      <c r="B170" s="352"/>
      <c r="C170" s="352"/>
      <c r="E170" s="361"/>
      <c r="F170" s="362"/>
      <c r="G170" s="361"/>
      <c r="I170" s="349"/>
      <c r="K170" s="352"/>
      <c r="L170" s="352"/>
      <c r="N170" s="205"/>
      <c r="O170" s="352"/>
      <c r="P170" s="363"/>
      <c r="R170" s="352"/>
    </row>
    <row r="171">
      <c r="B171" s="352"/>
      <c r="C171" s="352"/>
      <c r="E171" s="361"/>
      <c r="F171" s="362"/>
      <c r="G171" s="361"/>
      <c r="I171" s="349"/>
      <c r="K171" s="352"/>
      <c r="L171" s="352"/>
      <c r="N171" s="205"/>
      <c r="O171" s="352"/>
      <c r="P171" s="363"/>
      <c r="R171" s="352"/>
    </row>
    <row r="172">
      <c r="B172" s="352"/>
      <c r="C172" s="352"/>
      <c r="E172" s="361"/>
      <c r="F172" s="362"/>
      <c r="G172" s="361"/>
      <c r="I172" s="349"/>
      <c r="K172" s="352"/>
      <c r="L172" s="352"/>
      <c r="N172" s="205"/>
      <c r="O172" s="352"/>
      <c r="P172" s="363"/>
      <c r="R172" s="352"/>
    </row>
    <row r="173">
      <c r="B173" s="352"/>
      <c r="C173" s="352"/>
      <c r="E173" s="361"/>
      <c r="F173" s="362"/>
      <c r="G173" s="361"/>
      <c r="I173" s="349"/>
      <c r="K173" s="352"/>
      <c r="L173" s="352"/>
      <c r="N173" s="205"/>
      <c r="O173" s="352"/>
      <c r="P173" s="363"/>
      <c r="R173" s="352"/>
    </row>
    <row r="174">
      <c r="B174" s="352"/>
      <c r="C174" s="352"/>
      <c r="E174" s="361"/>
      <c r="F174" s="362"/>
      <c r="G174" s="361"/>
      <c r="I174" s="349"/>
      <c r="K174" s="352"/>
      <c r="L174" s="352"/>
      <c r="N174" s="205"/>
      <c r="O174" s="352"/>
      <c r="P174" s="363"/>
      <c r="R174" s="352"/>
    </row>
    <row r="175">
      <c r="B175" s="352"/>
      <c r="C175" s="352"/>
      <c r="E175" s="361"/>
      <c r="F175" s="362"/>
      <c r="G175" s="361"/>
      <c r="I175" s="349"/>
      <c r="K175" s="352"/>
      <c r="L175" s="352"/>
      <c r="N175" s="205"/>
      <c r="O175" s="352"/>
      <c r="P175" s="363"/>
      <c r="R175" s="352"/>
    </row>
    <row r="176">
      <c r="B176" s="352"/>
      <c r="C176" s="352"/>
      <c r="E176" s="361"/>
      <c r="F176" s="362"/>
      <c r="G176" s="361"/>
      <c r="I176" s="349"/>
      <c r="K176" s="352"/>
      <c r="L176" s="352"/>
      <c r="N176" s="205"/>
      <c r="O176" s="352"/>
      <c r="P176" s="363"/>
      <c r="R176" s="352"/>
    </row>
    <row r="177">
      <c r="B177" s="352"/>
      <c r="C177" s="352"/>
      <c r="E177" s="361"/>
      <c r="F177" s="362"/>
      <c r="G177" s="361"/>
      <c r="I177" s="349"/>
      <c r="K177" s="352"/>
      <c r="L177" s="352"/>
      <c r="N177" s="205"/>
      <c r="O177" s="352"/>
      <c r="P177" s="363"/>
      <c r="R177" s="352"/>
    </row>
    <row r="178">
      <c r="B178" s="352"/>
      <c r="C178" s="352"/>
      <c r="E178" s="361"/>
      <c r="F178" s="362"/>
      <c r="G178" s="361"/>
      <c r="I178" s="349"/>
      <c r="K178" s="352"/>
      <c r="L178" s="352"/>
      <c r="N178" s="205"/>
      <c r="O178" s="352"/>
      <c r="P178" s="363"/>
      <c r="R178" s="352"/>
    </row>
    <row r="179">
      <c r="B179" s="352"/>
      <c r="C179" s="352"/>
      <c r="E179" s="361"/>
      <c r="F179" s="362"/>
      <c r="G179" s="361"/>
      <c r="I179" s="349"/>
      <c r="K179" s="352"/>
      <c r="L179" s="352"/>
      <c r="N179" s="205"/>
      <c r="O179" s="352"/>
      <c r="P179" s="363"/>
      <c r="R179" s="352"/>
    </row>
    <row r="180">
      <c r="B180" s="352"/>
      <c r="C180" s="352"/>
      <c r="E180" s="361"/>
      <c r="F180" s="362"/>
      <c r="G180" s="361"/>
      <c r="I180" s="349"/>
      <c r="K180" s="352"/>
      <c r="L180" s="352"/>
      <c r="N180" s="205"/>
      <c r="O180" s="352"/>
      <c r="P180" s="363"/>
      <c r="R180" s="352"/>
    </row>
    <row r="181">
      <c r="B181" s="352"/>
      <c r="C181" s="352"/>
      <c r="E181" s="361"/>
      <c r="F181" s="362"/>
      <c r="G181" s="361"/>
      <c r="I181" s="349"/>
      <c r="K181" s="352"/>
      <c r="L181" s="352"/>
      <c r="N181" s="205"/>
      <c r="O181" s="352"/>
      <c r="P181" s="363"/>
      <c r="R181" s="352"/>
    </row>
    <row r="182">
      <c r="B182" s="352"/>
      <c r="C182" s="352"/>
      <c r="E182" s="361"/>
      <c r="F182" s="362"/>
      <c r="G182" s="361"/>
      <c r="I182" s="349"/>
      <c r="K182" s="352"/>
      <c r="L182" s="352"/>
      <c r="N182" s="205"/>
      <c r="O182" s="352"/>
      <c r="P182" s="363"/>
      <c r="R182" s="352"/>
    </row>
    <row r="183">
      <c r="B183" s="352"/>
      <c r="C183" s="352"/>
      <c r="E183" s="361"/>
      <c r="F183" s="362"/>
      <c r="G183" s="361"/>
      <c r="I183" s="349"/>
      <c r="K183" s="352"/>
      <c r="L183" s="352"/>
      <c r="N183" s="205"/>
      <c r="O183" s="352"/>
      <c r="P183" s="363"/>
      <c r="R183" s="352"/>
    </row>
    <row r="184">
      <c r="B184" s="352"/>
      <c r="C184" s="352"/>
      <c r="E184" s="361"/>
      <c r="F184" s="362"/>
      <c r="G184" s="361"/>
      <c r="I184" s="349"/>
      <c r="K184" s="352"/>
      <c r="L184" s="352"/>
      <c r="N184" s="205"/>
      <c r="O184" s="352"/>
      <c r="P184" s="363"/>
      <c r="R184" s="352"/>
    </row>
    <row r="185">
      <c r="B185" s="352"/>
      <c r="C185" s="352"/>
      <c r="E185" s="361"/>
      <c r="F185" s="362"/>
      <c r="G185" s="361"/>
      <c r="I185" s="349"/>
      <c r="K185" s="352"/>
      <c r="L185" s="352"/>
      <c r="N185" s="205"/>
      <c r="O185" s="352"/>
      <c r="P185" s="363"/>
      <c r="R185" s="352"/>
    </row>
    <row r="186">
      <c r="B186" s="352"/>
      <c r="C186" s="352"/>
      <c r="E186" s="361"/>
      <c r="F186" s="362"/>
      <c r="G186" s="361"/>
      <c r="I186" s="349"/>
      <c r="K186" s="352"/>
      <c r="L186" s="352"/>
      <c r="N186" s="205"/>
      <c r="O186" s="352"/>
      <c r="P186" s="363"/>
      <c r="R186" s="352"/>
    </row>
    <row r="187">
      <c r="B187" s="352"/>
      <c r="C187" s="352"/>
      <c r="E187" s="361"/>
      <c r="F187" s="362"/>
      <c r="G187" s="361"/>
      <c r="I187" s="349"/>
      <c r="K187" s="352"/>
      <c r="L187" s="352"/>
      <c r="N187" s="205"/>
      <c r="O187" s="352"/>
      <c r="P187" s="363"/>
      <c r="R187" s="352"/>
    </row>
    <row r="188">
      <c r="B188" s="352"/>
      <c r="C188" s="352"/>
      <c r="E188" s="361"/>
      <c r="F188" s="362"/>
      <c r="G188" s="361"/>
      <c r="I188" s="349"/>
      <c r="K188" s="352"/>
      <c r="L188" s="352"/>
      <c r="N188" s="205"/>
      <c r="O188" s="352"/>
      <c r="P188" s="363"/>
      <c r="R188" s="352"/>
    </row>
    <row r="189">
      <c r="B189" s="352"/>
      <c r="C189" s="352"/>
      <c r="E189" s="361"/>
      <c r="F189" s="362"/>
      <c r="G189" s="361"/>
      <c r="I189" s="349"/>
      <c r="K189" s="352"/>
      <c r="L189" s="352"/>
      <c r="N189" s="205"/>
      <c r="O189" s="352"/>
      <c r="P189" s="363"/>
      <c r="R189" s="352"/>
    </row>
    <row r="190">
      <c r="B190" s="352"/>
      <c r="C190" s="352"/>
      <c r="E190" s="361"/>
      <c r="F190" s="362"/>
      <c r="G190" s="361"/>
      <c r="I190" s="349"/>
      <c r="K190" s="352"/>
      <c r="L190" s="352"/>
      <c r="N190" s="205"/>
      <c r="O190" s="352"/>
      <c r="P190" s="363"/>
      <c r="R190" s="352"/>
    </row>
    <row r="191">
      <c r="B191" s="352"/>
      <c r="C191" s="352"/>
      <c r="E191" s="361"/>
      <c r="F191" s="362"/>
      <c r="G191" s="361"/>
      <c r="I191" s="349"/>
      <c r="K191" s="352"/>
      <c r="L191" s="352"/>
      <c r="N191" s="205"/>
      <c r="O191" s="352"/>
      <c r="P191" s="363"/>
      <c r="R191" s="352"/>
    </row>
    <row r="192">
      <c r="B192" s="352"/>
      <c r="C192" s="352"/>
      <c r="E192" s="361"/>
      <c r="F192" s="362"/>
      <c r="G192" s="361"/>
      <c r="I192" s="349"/>
      <c r="K192" s="352"/>
      <c r="L192" s="352"/>
      <c r="N192" s="205"/>
      <c r="O192" s="352"/>
      <c r="P192" s="363"/>
      <c r="R192" s="352"/>
    </row>
    <row r="193">
      <c r="B193" s="352"/>
      <c r="C193" s="352"/>
      <c r="E193" s="361"/>
      <c r="F193" s="362"/>
      <c r="G193" s="361"/>
      <c r="I193" s="349"/>
      <c r="K193" s="352"/>
      <c r="L193" s="352"/>
      <c r="N193" s="205"/>
      <c r="O193" s="352"/>
      <c r="P193" s="363"/>
      <c r="R193" s="352"/>
    </row>
    <row r="194">
      <c r="B194" s="352"/>
      <c r="C194" s="352"/>
      <c r="E194" s="361"/>
      <c r="F194" s="362"/>
      <c r="G194" s="361"/>
      <c r="I194" s="349"/>
      <c r="K194" s="352"/>
      <c r="L194" s="352"/>
      <c r="N194" s="205"/>
      <c r="O194" s="352"/>
      <c r="P194" s="363"/>
      <c r="R194" s="352"/>
    </row>
    <row r="195">
      <c r="B195" s="352"/>
      <c r="C195" s="352"/>
      <c r="E195" s="361"/>
      <c r="F195" s="362"/>
      <c r="G195" s="361"/>
      <c r="I195" s="349"/>
      <c r="K195" s="352"/>
      <c r="L195" s="352"/>
      <c r="N195" s="205"/>
      <c r="O195" s="352"/>
      <c r="P195" s="363"/>
      <c r="R195" s="352"/>
    </row>
    <row r="196">
      <c r="B196" s="352"/>
      <c r="C196" s="352"/>
      <c r="E196" s="361"/>
      <c r="F196" s="362"/>
      <c r="G196" s="361"/>
      <c r="I196" s="349"/>
      <c r="K196" s="352"/>
      <c r="L196" s="352"/>
      <c r="N196" s="205"/>
      <c r="O196" s="352"/>
      <c r="P196" s="363"/>
      <c r="R196" s="352"/>
    </row>
    <row r="197">
      <c r="B197" s="352"/>
      <c r="C197" s="352"/>
      <c r="E197" s="361"/>
      <c r="F197" s="362"/>
      <c r="G197" s="361"/>
      <c r="I197" s="349"/>
      <c r="K197" s="352"/>
      <c r="L197" s="352"/>
      <c r="N197" s="205"/>
      <c r="O197" s="352"/>
      <c r="P197" s="363"/>
      <c r="R197" s="352"/>
    </row>
    <row r="198">
      <c r="B198" s="352"/>
      <c r="C198" s="352"/>
      <c r="E198" s="361"/>
      <c r="F198" s="362"/>
      <c r="G198" s="361"/>
      <c r="I198" s="349"/>
      <c r="K198" s="352"/>
      <c r="L198" s="352"/>
      <c r="N198" s="205"/>
      <c r="O198" s="352"/>
      <c r="P198" s="363"/>
      <c r="R198" s="352"/>
    </row>
    <row r="199">
      <c r="B199" s="352"/>
      <c r="C199" s="352"/>
      <c r="E199" s="361"/>
      <c r="F199" s="362"/>
      <c r="G199" s="361"/>
      <c r="I199" s="349"/>
      <c r="K199" s="352"/>
      <c r="L199" s="352"/>
      <c r="N199" s="205"/>
      <c r="O199" s="352"/>
      <c r="P199" s="363"/>
      <c r="R199" s="352"/>
    </row>
    <row r="200">
      <c r="B200" s="352"/>
      <c r="C200" s="352"/>
      <c r="E200" s="361"/>
      <c r="F200" s="362"/>
      <c r="G200" s="361"/>
      <c r="I200" s="349"/>
      <c r="K200" s="352"/>
      <c r="L200" s="352"/>
      <c r="N200" s="205"/>
      <c r="O200" s="352"/>
      <c r="P200" s="363"/>
      <c r="R200" s="352"/>
    </row>
    <row r="201">
      <c r="B201" s="352"/>
      <c r="C201" s="352"/>
      <c r="E201" s="361"/>
      <c r="F201" s="362"/>
      <c r="G201" s="361"/>
      <c r="I201" s="349"/>
      <c r="K201" s="352"/>
      <c r="L201" s="352"/>
      <c r="N201" s="205"/>
      <c r="O201" s="352"/>
      <c r="P201" s="363"/>
      <c r="R201" s="352"/>
    </row>
    <row r="202">
      <c r="B202" s="352"/>
      <c r="C202" s="352"/>
      <c r="E202" s="361"/>
      <c r="F202" s="362"/>
      <c r="G202" s="361"/>
      <c r="I202" s="349"/>
      <c r="K202" s="352"/>
      <c r="L202" s="352"/>
      <c r="N202" s="205"/>
      <c r="O202" s="352"/>
      <c r="P202" s="363"/>
      <c r="R202" s="352"/>
    </row>
    <row r="203">
      <c r="B203" s="352"/>
      <c r="C203" s="352"/>
      <c r="E203" s="361"/>
      <c r="F203" s="362"/>
      <c r="G203" s="361"/>
      <c r="I203" s="349"/>
      <c r="K203" s="352"/>
      <c r="L203" s="352"/>
      <c r="N203" s="205"/>
      <c r="O203" s="352"/>
      <c r="P203" s="363"/>
      <c r="R203" s="352"/>
    </row>
    <row r="204">
      <c r="B204" s="352"/>
      <c r="C204" s="352"/>
      <c r="E204" s="361"/>
      <c r="F204" s="362"/>
      <c r="G204" s="361"/>
      <c r="I204" s="349"/>
      <c r="K204" s="352"/>
      <c r="L204" s="352"/>
      <c r="N204" s="205"/>
      <c r="O204" s="352"/>
      <c r="P204" s="363"/>
      <c r="R204" s="352"/>
    </row>
    <row r="205">
      <c r="B205" s="352"/>
      <c r="C205" s="352"/>
      <c r="E205" s="361"/>
      <c r="F205" s="362"/>
      <c r="G205" s="361"/>
      <c r="I205" s="349"/>
      <c r="K205" s="352"/>
      <c r="L205" s="352"/>
      <c r="N205" s="205"/>
      <c r="O205" s="352"/>
      <c r="P205" s="363"/>
      <c r="R205" s="352"/>
    </row>
    <row r="206">
      <c r="B206" s="352"/>
      <c r="C206" s="352"/>
      <c r="E206" s="361"/>
      <c r="F206" s="362"/>
      <c r="G206" s="361"/>
      <c r="I206" s="349"/>
      <c r="K206" s="352"/>
      <c r="L206" s="352"/>
      <c r="N206" s="205"/>
      <c r="O206" s="352"/>
      <c r="P206" s="363"/>
      <c r="R206" s="352"/>
    </row>
    <row r="207">
      <c r="B207" s="352"/>
      <c r="C207" s="352"/>
      <c r="E207" s="361"/>
      <c r="F207" s="362"/>
      <c r="G207" s="361"/>
      <c r="I207" s="349"/>
      <c r="K207" s="352"/>
      <c r="L207" s="352"/>
      <c r="N207" s="205"/>
      <c r="O207" s="352"/>
      <c r="P207" s="363"/>
      <c r="R207" s="352"/>
    </row>
    <row r="208">
      <c r="B208" s="352"/>
      <c r="C208" s="352"/>
      <c r="E208" s="361"/>
      <c r="F208" s="362"/>
      <c r="G208" s="361"/>
      <c r="I208" s="349"/>
      <c r="K208" s="352"/>
      <c r="L208" s="352"/>
      <c r="N208" s="205"/>
      <c r="O208" s="352"/>
      <c r="P208" s="363"/>
      <c r="R208" s="352"/>
    </row>
    <row r="209">
      <c r="B209" s="352"/>
      <c r="C209" s="352"/>
      <c r="E209" s="361"/>
      <c r="F209" s="362"/>
      <c r="G209" s="361"/>
      <c r="I209" s="349"/>
      <c r="K209" s="352"/>
      <c r="L209" s="352"/>
      <c r="N209" s="205"/>
      <c r="O209" s="352"/>
      <c r="P209" s="363"/>
      <c r="R209" s="352"/>
    </row>
    <row r="210">
      <c r="B210" s="352"/>
      <c r="C210" s="352"/>
      <c r="E210" s="361"/>
      <c r="F210" s="362"/>
      <c r="G210" s="361"/>
      <c r="I210" s="349"/>
      <c r="K210" s="352"/>
      <c r="L210" s="352"/>
      <c r="N210" s="205"/>
      <c r="O210" s="352"/>
      <c r="P210" s="363"/>
      <c r="R210" s="352"/>
    </row>
    <row r="211">
      <c r="B211" s="352"/>
      <c r="C211" s="352"/>
      <c r="E211" s="361"/>
      <c r="F211" s="362"/>
      <c r="G211" s="361"/>
      <c r="I211" s="349"/>
      <c r="K211" s="352"/>
      <c r="L211" s="352"/>
      <c r="N211" s="205"/>
      <c r="O211" s="352"/>
      <c r="P211" s="363"/>
      <c r="R211" s="352"/>
    </row>
    <row r="212">
      <c r="B212" s="352"/>
      <c r="C212" s="352"/>
      <c r="E212" s="361"/>
      <c r="F212" s="362"/>
      <c r="G212" s="361"/>
      <c r="I212" s="349"/>
      <c r="K212" s="352"/>
      <c r="L212" s="352"/>
      <c r="N212" s="205"/>
      <c r="O212" s="352"/>
      <c r="P212" s="363"/>
      <c r="R212" s="352"/>
    </row>
    <row r="213">
      <c r="B213" s="352"/>
      <c r="C213" s="352"/>
      <c r="E213" s="361"/>
      <c r="F213" s="362"/>
      <c r="G213" s="361"/>
      <c r="I213" s="349"/>
      <c r="K213" s="352"/>
      <c r="L213" s="352"/>
      <c r="N213" s="205"/>
      <c r="O213" s="352"/>
      <c r="P213" s="363"/>
      <c r="R213" s="352"/>
    </row>
    <row r="214">
      <c r="B214" s="352"/>
      <c r="C214" s="352"/>
      <c r="E214" s="361"/>
      <c r="F214" s="362"/>
      <c r="G214" s="361"/>
      <c r="I214" s="349"/>
      <c r="K214" s="352"/>
      <c r="L214" s="352"/>
      <c r="N214" s="205"/>
      <c r="O214" s="352"/>
      <c r="P214" s="363"/>
      <c r="R214" s="352"/>
    </row>
    <row r="215">
      <c r="B215" s="352"/>
      <c r="C215" s="352"/>
      <c r="E215" s="361"/>
      <c r="F215" s="362"/>
      <c r="G215" s="361"/>
      <c r="I215" s="349"/>
      <c r="K215" s="352"/>
      <c r="L215" s="352"/>
      <c r="N215" s="205"/>
      <c r="O215" s="352"/>
      <c r="P215" s="363"/>
      <c r="R215" s="352"/>
    </row>
    <row r="216">
      <c r="B216" s="352"/>
      <c r="C216" s="352"/>
      <c r="E216" s="361"/>
      <c r="F216" s="362"/>
      <c r="G216" s="361"/>
      <c r="I216" s="349"/>
      <c r="K216" s="352"/>
      <c r="L216" s="352"/>
      <c r="N216" s="205"/>
      <c r="O216" s="352"/>
      <c r="P216" s="363"/>
      <c r="R216" s="352"/>
    </row>
    <row r="217">
      <c r="B217" s="352"/>
      <c r="C217" s="352"/>
      <c r="E217" s="361"/>
      <c r="F217" s="362"/>
      <c r="G217" s="361"/>
      <c r="I217" s="349"/>
      <c r="K217" s="352"/>
      <c r="L217" s="352"/>
      <c r="N217" s="205"/>
      <c r="O217" s="352"/>
      <c r="P217" s="363"/>
      <c r="R217" s="352"/>
    </row>
    <row r="218">
      <c r="B218" s="352"/>
      <c r="C218" s="352"/>
      <c r="E218" s="361"/>
      <c r="F218" s="362"/>
      <c r="G218" s="361"/>
      <c r="I218" s="349"/>
      <c r="K218" s="352"/>
      <c r="L218" s="352"/>
      <c r="N218" s="205"/>
      <c r="O218" s="352"/>
      <c r="P218" s="363"/>
      <c r="R218" s="352"/>
    </row>
    <row r="219">
      <c r="B219" s="352"/>
      <c r="C219" s="352"/>
      <c r="E219" s="361"/>
      <c r="F219" s="362"/>
      <c r="G219" s="361"/>
      <c r="I219" s="349"/>
      <c r="K219" s="352"/>
      <c r="L219" s="352"/>
      <c r="N219" s="205"/>
      <c r="O219" s="352"/>
      <c r="P219" s="363"/>
      <c r="R219" s="352"/>
    </row>
    <row r="220">
      <c r="B220" s="352"/>
      <c r="C220" s="352"/>
      <c r="E220" s="361"/>
      <c r="F220" s="362"/>
      <c r="G220" s="361"/>
      <c r="I220" s="349"/>
      <c r="K220" s="352"/>
      <c r="L220" s="352"/>
      <c r="N220" s="205"/>
      <c r="O220" s="352"/>
      <c r="P220" s="363"/>
      <c r="R220" s="352"/>
    </row>
    <row r="221">
      <c r="B221" s="352"/>
      <c r="C221" s="352"/>
      <c r="E221" s="361"/>
      <c r="F221" s="362"/>
      <c r="G221" s="361"/>
      <c r="I221" s="349"/>
      <c r="K221" s="352"/>
      <c r="L221" s="352"/>
      <c r="N221" s="205"/>
      <c r="O221" s="352"/>
      <c r="P221" s="363"/>
      <c r="R221" s="352"/>
    </row>
    <row r="222">
      <c r="B222" s="352"/>
      <c r="C222" s="352"/>
      <c r="E222" s="361"/>
      <c r="F222" s="362"/>
      <c r="G222" s="361"/>
      <c r="I222" s="349"/>
      <c r="K222" s="352"/>
      <c r="L222" s="352"/>
      <c r="N222" s="205"/>
      <c r="O222" s="352"/>
      <c r="P222" s="363"/>
      <c r="R222" s="352"/>
    </row>
    <row r="223">
      <c r="B223" s="352"/>
      <c r="C223" s="352"/>
      <c r="E223" s="361"/>
      <c r="F223" s="362"/>
      <c r="G223" s="361"/>
      <c r="I223" s="349"/>
      <c r="K223" s="352"/>
      <c r="L223" s="352"/>
      <c r="N223" s="205"/>
      <c r="O223" s="352"/>
      <c r="P223" s="363"/>
      <c r="R223" s="352"/>
    </row>
    <row r="224">
      <c r="B224" s="352"/>
      <c r="C224" s="352"/>
      <c r="E224" s="361"/>
      <c r="F224" s="362"/>
      <c r="G224" s="361"/>
      <c r="I224" s="349"/>
      <c r="K224" s="352"/>
      <c r="L224" s="352"/>
      <c r="N224" s="205"/>
      <c r="O224" s="352"/>
      <c r="P224" s="363"/>
      <c r="R224" s="352"/>
    </row>
    <row r="225">
      <c r="B225" s="352"/>
      <c r="C225" s="352"/>
      <c r="E225" s="361"/>
      <c r="F225" s="362"/>
      <c r="G225" s="361"/>
      <c r="I225" s="349"/>
      <c r="K225" s="352"/>
      <c r="L225" s="352"/>
      <c r="N225" s="205"/>
      <c r="O225" s="352"/>
      <c r="P225" s="363"/>
      <c r="R225" s="352"/>
    </row>
    <row r="226">
      <c r="B226" s="352"/>
      <c r="C226" s="352"/>
      <c r="E226" s="361"/>
      <c r="F226" s="362"/>
      <c r="G226" s="361"/>
      <c r="I226" s="349"/>
      <c r="K226" s="352"/>
      <c r="L226" s="352"/>
      <c r="N226" s="205"/>
      <c r="O226" s="352"/>
      <c r="P226" s="363"/>
      <c r="R226" s="352"/>
    </row>
    <row r="227">
      <c r="B227" s="352"/>
      <c r="C227" s="352"/>
      <c r="E227" s="361"/>
      <c r="F227" s="362"/>
      <c r="G227" s="361"/>
      <c r="I227" s="349"/>
      <c r="K227" s="352"/>
      <c r="L227" s="352"/>
      <c r="N227" s="205"/>
      <c r="O227" s="352"/>
      <c r="P227" s="363"/>
      <c r="R227" s="352"/>
    </row>
    <row r="228">
      <c r="B228" s="352"/>
      <c r="C228" s="352"/>
      <c r="E228" s="361"/>
      <c r="F228" s="362"/>
      <c r="G228" s="361"/>
      <c r="I228" s="349"/>
      <c r="K228" s="352"/>
      <c r="L228" s="352"/>
      <c r="N228" s="205"/>
      <c r="O228" s="352"/>
      <c r="P228" s="363"/>
      <c r="R228" s="352"/>
    </row>
    <row r="229">
      <c r="B229" s="352"/>
      <c r="C229" s="352"/>
      <c r="E229" s="361"/>
      <c r="F229" s="362"/>
      <c r="G229" s="361"/>
      <c r="I229" s="349"/>
      <c r="K229" s="352"/>
      <c r="L229" s="352"/>
      <c r="N229" s="205"/>
      <c r="O229" s="352"/>
      <c r="P229" s="363"/>
      <c r="R229" s="352"/>
    </row>
    <row r="230">
      <c r="B230" s="352"/>
      <c r="C230" s="352"/>
      <c r="E230" s="361"/>
      <c r="F230" s="362"/>
      <c r="G230" s="361"/>
      <c r="I230" s="349"/>
      <c r="K230" s="352"/>
      <c r="L230" s="352"/>
      <c r="N230" s="205"/>
      <c r="O230" s="352"/>
      <c r="P230" s="363"/>
      <c r="R230" s="352"/>
    </row>
    <row r="231">
      <c r="B231" s="352"/>
      <c r="C231" s="352"/>
      <c r="E231" s="361"/>
      <c r="F231" s="362"/>
      <c r="G231" s="361"/>
      <c r="I231" s="349"/>
      <c r="K231" s="352"/>
      <c r="L231" s="352"/>
      <c r="N231" s="205"/>
      <c r="O231" s="352"/>
      <c r="P231" s="363"/>
      <c r="R231" s="352"/>
    </row>
    <row r="232">
      <c r="B232" s="352"/>
      <c r="C232" s="352"/>
      <c r="E232" s="361"/>
      <c r="F232" s="362"/>
      <c r="G232" s="361"/>
      <c r="I232" s="349"/>
      <c r="K232" s="352"/>
      <c r="L232" s="352"/>
      <c r="N232" s="205"/>
      <c r="O232" s="352"/>
      <c r="P232" s="363"/>
      <c r="R232" s="352"/>
    </row>
    <row r="233">
      <c r="B233" s="352"/>
      <c r="C233" s="352"/>
      <c r="E233" s="361"/>
      <c r="F233" s="362"/>
      <c r="G233" s="361"/>
      <c r="I233" s="349"/>
      <c r="K233" s="352"/>
      <c r="L233" s="352"/>
      <c r="N233" s="205"/>
      <c r="O233" s="352"/>
      <c r="P233" s="363"/>
      <c r="R233" s="352"/>
    </row>
    <row r="234">
      <c r="B234" s="352"/>
      <c r="C234" s="352"/>
      <c r="E234" s="361"/>
      <c r="F234" s="362"/>
      <c r="G234" s="361"/>
      <c r="I234" s="349"/>
      <c r="K234" s="352"/>
      <c r="L234" s="352"/>
      <c r="N234" s="205"/>
      <c r="O234" s="352"/>
      <c r="P234" s="363"/>
      <c r="R234" s="352"/>
    </row>
    <row r="235">
      <c r="B235" s="352"/>
      <c r="C235" s="352"/>
      <c r="E235" s="361"/>
      <c r="F235" s="362"/>
      <c r="G235" s="361"/>
      <c r="I235" s="349"/>
      <c r="K235" s="352"/>
      <c r="L235" s="352"/>
      <c r="N235" s="205"/>
      <c r="O235" s="352"/>
      <c r="P235" s="363"/>
      <c r="R235" s="352"/>
    </row>
    <row r="236">
      <c r="B236" s="352"/>
      <c r="C236" s="352"/>
      <c r="E236" s="361"/>
      <c r="F236" s="362"/>
      <c r="G236" s="361"/>
      <c r="I236" s="349"/>
      <c r="K236" s="352"/>
      <c r="L236" s="352"/>
      <c r="N236" s="205"/>
      <c r="O236" s="352"/>
      <c r="P236" s="363"/>
      <c r="R236" s="352"/>
    </row>
    <row r="237">
      <c r="B237" s="352"/>
      <c r="C237" s="352"/>
      <c r="E237" s="361"/>
      <c r="F237" s="362"/>
      <c r="G237" s="361"/>
      <c r="I237" s="349"/>
      <c r="K237" s="352"/>
      <c r="L237" s="352"/>
      <c r="N237" s="205"/>
      <c r="O237" s="352"/>
      <c r="P237" s="363"/>
      <c r="R237" s="352"/>
    </row>
    <row r="238">
      <c r="B238" s="352"/>
      <c r="C238" s="352"/>
      <c r="E238" s="361"/>
      <c r="F238" s="362"/>
      <c r="G238" s="361"/>
      <c r="I238" s="349"/>
      <c r="K238" s="352"/>
      <c r="L238" s="352"/>
      <c r="N238" s="205"/>
      <c r="O238" s="352"/>
      <c r="P238" s="363"/>
      <c r="R238" s="352"/>
    </row>
    <row r="239">
      <c r="B239" s="352"/>
      <c r="C239" s="352"/>
      <c r="E239" s="361"/>
      <c r="F239" s="362"/>
      <c r="G239" s="361"/>
      <c r="I239" s="349"/>
      <c r="K239" s="352"/>
      <c r="L239" s="352"/>
      <c r="N239" s="205"/>
      <c r="O239" s="352"/>
      <c r="P239" s="363"/>
      <c r="R239" s="352"/>
    </row>
    <row r="240">
      <c r="B240" s="352"/>
      <c r="C240" s="352"/>
      <c r="E240" s="361"/>
      <c r="F240" s="362"/>
      <c r="G240" s="361"/>
      <c r="I240" s="349"/>
      <c r="K240" s="352"/>
      <c r="L240" s="352"/>
      <c r="N240" s="205"/>
      <c r="O240" s="352"/>
      <c r="P240" s="363"/>
      <c r="R240" s="352"/>
    </row>
    <row r="241">
      <c r="B241" s="352"/>
      <c r="C241" s="352"/>
      <c r="E241" s="361"/>
      <c r="F241" s="362"/>
      <c r="G241" s="361"/>
      <c r="I241" s="349"/>
      <c r="K241" s="352"/>
      <c r="L241" s="352"/>
      <c r="N241" s="205"/>
      <c r="O241" s="352"/>
      <c r="P241" s="363"/>
      <c r="R241" s="352"/>
    </row>
    <row r="242">
      <c r="B242" s="352"/>
      <c r="C242" s="352"/>
      <c r="E242" s="361"/>
      <c r="F242" s="362"/>
      <c r="G242" s="361"/>
      <c r="I242" s="349"/>
      <c r="K242" s="352"/>
      <c r="L242" s="352"/>
      <c r="N242" s="205"/>
      <c r="O242" s="352"/>
      <c r="P242" s="363"/>
      <c r="R242" s="352"/>
    </row>
    <row r="243">
      <c r="B243" s="352"/>
      <c r="C243" s="352"/>
      <c r="E243" s="361"/>
      <c r="F243" s="362"/>
      <c r="G243" s="361"/>
      <c r="I243" s="349"/>
      <c r="K243" s="352"/>
      <c r="L243" s="352"/>
      <c r="N243" s="205"/>
      <c r="O243" s="352"/>
      <c r="P243" s="363"/>
      <c r="R243" s="352"/>
    </row>
    <row r="244">
      <c r="B244" s="352"/>
      <c r="C244" s="352"/>
      <c r="E244" s="361"/>
      <c r="F244" s="362"/>
      <c r="G244" s="361"/>
      <c r="I244" s="349"/>
      <c r="K244" s="352"/>
      <c r="L244" s="352"/>
      <c r="N244" s="205"/>
      <c r="O244" s="352"/>
      <c r="P244" s="363"/>
      <c r="R244" s="352"/>
    </row>
    <row r="245">
      <c r="B245" s="352"/>
      <c r="C245" s="352"/>
      <c r="E245" s="361"/>
      <c r="F245" s="362"/>
      <c r="G245" s="361"/>
      <c r="I245" s="349"/>
      <c r="K245" s="352"/>
      <c r="L245" s="352"/>
      <c r="N245" s="205"/>
      <c r="O245" s="352"/>
      <c r="P245" s="363"/>
      <c r="R245" s="352"/>
    </row>
    <row r="246">
      <c r="B246" s="352"/>
      <c r="C246" s="352"/>
      <c r="E246" s="361"/>
      <c r="F246" s="362"/>
      <c r="G246" s="361"/>
      <c r="I246" s="349"/>
      <c r="K246" s="352"/>
      <c r="L246" s="352"/>
      <c r="N246" s="205"/>
      <c r="O246" s="352"/>
      <c r="P246" s="363"/>
      <c r="R246" s="352"/>
    </row>
    <row r="247">
      <c r="B247" s="352"/>
      <c r="C247" s="352"/>
      <c r="E247" s="361"/>
      <c r="F247" s="362"/>
      <c r="G247" s="361"/>
      <c r="I247" s="349"/>
      <c r="K247" s="352"/>
      <c r="L247" s="352"/>
      <c r="N247" s="205"/>
      <c r="O247" s="352"/>
      <c r="P247" s="363"/>
      <c r="R247" s="352"/>
    </row>
    <row r="248">
      <c r="B248" s="352"/>
      <c r="C248" s="352"/>
      <c r="E248" s="361"/>
      <c r="F248" s="362"/>
      <c r="G248" s="361"/>
      <c r="I248" s="349"/>
      <c r="K248" s="352"/>
      <c r="L248" s="352"/>
      <c r="N248" s="205"/>
      <c r="O248" s="352"/>
      <c r="P248" s="363"/>
      <c r="R248" s="352"/>
    </row>
    <row r="249">
      <c r="B249" s="352"/>
      <c r="C249" s="352"/>
      <c r="E249" s="361"/>
      <c r="F249" s="362"/>
      <c r="G249" s="361"/>
      <c r="I249" s="349"/>
      <c r="K249" s="352"/>
      <c r="L249" s="352"/>
      <c r="N249" s="205"/>
      <c r="O249" s="352"/>
      <c r="P249" s="363"/>
      <c r="R249" s="352"/>
    </row>
    <row r="250">
      <c r="B250" s="352"/>
      <c r="C250" s="352"/>
      <c r="E250" s="361"/>
      <c r="F250" s="362"/>
      <c r="G250" s="361"/>
      <c r="I250" s="349"/>
      <c r="K250" s="352"/>
      <c r="L250" s="352"/>
      <c r="N250" s="205"/>
      <c r="O250" s="352"/>
      <c r="P250" s="363"/>
      <c r="R250" s="352"/>
    </row>
    <row r="251">
      <c r="B251" s="352"/>
      <c r="C251" s="352"/>
      <c r="E251" s="361"/>
      <c r="F251" s="362"/>
      <c r="G251" s="361"/>
      <c r="I251" s="349"/>
      <c r="K251" s="352"/>
      <c r="L251" s="352"/>
      <c r="N251" s="205"/>
      <c r="O251" s="352"/>
      <c r="P251" s="363"/>
      <c r="R251" s="352"/>
    </row>
    <row r="252">
      <c r="B252" s="352"/>
      <c r="C252" s="352"/>
      <c r="E252" s="361"/>
      <c r="F252" s="362"/>
      <c r="G252" s="361"/>
      <c r="I252" s="349"/>
      <c r="K252" s="352"/>
      <c r="L252" s="352"/>
      <c r="N252" s="205"/>
      <c r="O252" s="352"/>
      <c r="P252" s="363"/>
      <c r="R252" s="352"/>
    </row>
    <row r="253">
      <c r="B253" s="352"/>
      <c r="C253" s="352"/>
      <c r="E253" s="361"/>
      <c r="F253" s="362"/>
      <c r="G253" s="361"/>
      <c r="I253" s="349"/>
      <c r="K253" s="352"/>
      <c r="L253" s="352"/>
      <c r="N253" s="205"/>
      <c r="O253" s="352"/>
      <c r="P253" s="363"/>
      <c r="R253" s="352"/>
    </row>
    <row r="254">
      <c r="B254" s="352"/>
      <c r="C254" s="352"/>
      <c r="E254" s="361"/>
      <c r="F254" s="362"/>
      <c r="G254" s="361"/>
      <c r="I254" s="349"/>
      <c r="K254" s="352"/>
      <c r="L254" s="352"/>
      <c r="N254" s="205"/>
      <c r="O254" s="352"/>
      <c r="P254" s="363"/>
      <c r="R254" s="352"/>
    </row>
    <row r="255">
      <c r="B255" s="352"/>
      <c r="C255" s="352"/>
      <c r="E255" s="361"/>
      <c r="F255" s="362"/>
      <c r="G255" s="361"/>
      <c r="I255" s="349"/>
      <c r="K255" s="352"/>
      <c r="L255" s="352"/>
      <c r="N255" s="205"/>
      <c r="O255" s="352"/>
      <c r="P255" s="363"/>
      <c r="R255" s="352"/>
    </row>
    <row r="256">
      <c r="B256" s="352"/>
      <c r="C256" s="352"/>
      <c r="E256" s="361"/>
      <c r="F256" s="362"/>
      <c r="G256" s="361"/>
      <c r="I256" s="349"/>
      <c r="K256" s="352"/>
      <c r="L256" s="352"/>
      <c r="N256" s="205"/>
      <c r="O256" s="352"/>
      <c r="P256" s="363"/>
      <c r="R256" s="352"/>
    </row>
    <row r="257">
      <c r="B257" s="352"/>
      <c r="C257" s="352"/>
      <c r="E257" s="361"/>
      <c r="F257" s="362"/>
      <c r="G257" s="361"/>
      <c r="I257" s="349"/>
      <c r="K257" s="352"/>
      <c r="L257" s="352"/>
      <c r="N257" s="205"/>
      <c r="O257" s="352"/>
      <c r="P257" s="363"/>
      <c r="R257" s="352"/>
    </row>
    <row r="258">
      <c r="B258" s="352"/>
      <c r="C258" s="352"/>
      <c r="E258" s="361"/>
      <c r="F258" s="362"/>
      <c r="G258" s="361"/>
      <c r="I258" s="349"/>
      <c r="K258" s="352"/>
      <c r="L258" s="352"/>
      <c r="N258" s="205"/>
      <c r="O258" s="352"/>
      <c r="P258" s="363"/>
      <c r="R258" s="352"/>
    </row>
    <row r="259">
      <c r="B259" s="352"/>
      <c r="C259" s="352"/>
      <c r="E259" s="361"/>
      <c r="F259" s="362"/>
      <c r="G259" s="361"/>
      <c r="I259" s="349"/>
      <c r="K259" s="352"/>
      <c r="L259" s="352"/>
      <c r="N259" s="205"/>
      <c r="O259" s="352"/>
      <c r="P259" s="363"/>
      <c r="R259" s="352"/>
    </row>
    <row r="260">
      <c r="B260" s="352"/>
      <c r="C260" s="352"/>
      <c r="E260" s="361"/>
      <c r="F260" s="362"/>
      <c r="G260" s="361"/>
      <c r="I260" s="349"/>
      <c r="K260" s="352"/>
      <c r="L260" s="352"/>
      <c r="N260" s="205"/>
      <c r="O260" s="352"/>
      <c r="P260" s="363"/>
      <c r="R260" s="352"/>
    </row>
    <row r="261">
      <c r="B261" s="352"/>
      <c r="C261" s="352"/>
      <c r="E261" s="361"/>
      <c r="F261" s="362"/>
      <c r="G261" s="361"/>
      <c r="I261" s="349"/>
      <c r="K261" s="352"/>
      <c r="L261" s="352"/>
      <c r="N261" s="205"/>
      <c r="O261" s="352"/>
      <c r="P261" s="363"/>
      <c r="R261" s="352"/>
    </row>
    <row r="262">
      <c r="B262" s="352"/>
      <c r="C262" s="352"/>
      <c r="E262" s="361"/>
      <c r="F262" s="362"/>
      <c r="G262" s="361"/>
      <c r="I262" s="349"/>
      <c r="K262" s="352"/>
      <c r="L262" s="352"/>
      <c r="N262" s="205"/>
      <c r="O262" s="352"/>
      <c r="P262" s="363"/>
      <c r="R262" s="352"/>
    </row>
    <row r="263">
      <c r="B263" s="352"/>
      <c r="C263" s="352"/>
      <c r="E263" s="361"/>
      <c r="F263" s="362"/>
      <c r="G263" s="361"/>
      <c r="I263" s="349"/>
      <c r="K263" s="352"/>
      <c r="L263" s="352"/>
      <c r="N263" s="205"/>
      <c r="O263" s="352"/>
      <c r="P263" s="363"/>
      <c r="R263" s="352"/>
    </row>
    <row r="264">
      <c r="B264" s="352"/>
      <c r="C264" s="352"/>
      <c r="E264" s="361"/>
      <c r="F264" s="362"/>
      <c r="G264" s="361"/>
      <c r="I264" s="349"/>
      <c r="K264" s="352"/>
      <c r="L264" s="352"/>
      <c r="N264" s="205"/>
      <c r="O264" s="352"/>
      <c r="P264" s="363"/>
      <c r="R264" s="352"/>
    </row>
    <row r="265">
      <c r="B265" s="352"/>
      <c r="C265" s="352"/>
      <c r="E265" s="361"/>
      <c r="F265" s="362"/>
      <c r="G265" s="361"/>
      <c r="I265" s="349"/>
      <c r="K265" s="352"/>
      <c r="L265" s="352"/>
      <c r="N265" s="205"/>
      <c r="O265" s="352"/>
      <c r="P265" s="363"/>
      <c r="R265" s="352"/>
    </row>
    <row r="266">
      <c r="B266" s="352"/>
      <c r="C266" s="352"/>
      <c r="E266" s="361"/>
      <c r="F266" s="362"/>
      <c r="G266" s="361"/>
      <c r="I266" s="349"/>
      <c r="K266" s="352"/>
      <c r="L266" s="352"/>
      <c r="N266" s="205"/>
      <c r="O266" s="352"/>
      <c r="P266" s="363"/>
      <c r="R266" s="352"/>
    </row>
    <row r="267">
      <c r="B267" s="352"/>
      <c r="C267" s="352"/>
      <c r="E267" s="361"/>
      <c r="F267" s="362"/>
      <c r="G267" s="361"/>
      <c r="I267" s="349"/>
      <c r="K267" s="352"/>
      <c r="L267" s="352"/>
      <c r="N267" s="205"/>
      <c r="O267" s="352"/>
      <c r="P267" s="363"/>
      <c r="R267" s="352"/>
    </row>
    <row r="268">
      <c r="B268" s="352"/>
      <c r="C268" s="352"/>
      <c r="E268" s="361"/>
      <c r="F268" s="362"/>
      <c r="G268" s="361"/>
      <c r="I268" s="349"/>
      <c r="K268" s="352"/>
      <c r="L268" s="352"/>
      <c r="N268" s="205"/>
      <c r="O268" s="352"/>
      <c r="P268" s="363"/>
      <c r="R268" s="352"/>
    </row>
    <row r="269">
      <c r="B269" s="352"/>
      <c r="C269" s="352"/>
      <c r="E269" s="361"/>
      <c r="F269" s="362"/>
      <c r="G269" s="361"/>
      <c r="I269" s="349"/>
      <c r="K269" s="352"/>
      <c r="L269" s="352"/>
      <c r="N269" s="205"/>
      <c r="O269" s="352"/>
      <c r="P269" s="363"/>
      <c r="R269" s="352"/>
    </row>
    <row r="270">
      <c r="B270" s="352"/>
      <c r="C270" s="352"/>
      <c r="E270" s="361"/>
      <c r="F270" s="362"/>
      <c r="G270" s="361"/>
      <c r="I270" s="349"/>
      <c r="K270" s="352"/>
      <c r="L270" s="352"/>
      <c r="N270" s="205"/>
      <c r="O270" s="352"/>
      <c r="P270" s="363"/>
      <c r="R270" s="352"/>
    </row>
    <row r="271">
      <c r="B271" s="352"/>
      <c r="C271" s="352"/>
      <c r="E271" s="361"/>
      <c r="F271" s="362"/>
      <c r="G271" s="361"/>
      <c r="I271" s="349"/>
      <c r="K271" s="352"/>
      <c r="L271" s="352"/>
      <c r="N271" s="205"/>
      <c r="O271" s="352"/>
      <c r="P271" s="363"/>
      <c r="R271" s="352"/>
    </row>
    <row r="272">
      <c r="B272" s="352"/>
      <c r="C272" s="352"/>
      <c r="E272" s="361"/>
      <c r="F272" s="362"/>
      <c r="G272" s="361"/>
      <c r="I272" s="349"/>
      <c r="K272" s="352"/>
      <c r="L272" s="352"/>
      <c r="N272" s="205"/>
      <c r="O272" s="352"/>
      <c r="P272" s="363"/>
      <c r="R272" s="352"/>
    </row>
    <row r="273">
      <c r="B273" s="352"/>
      <c r="C273" s="352"/>
      <c r="E273" s="361"/>
      <c r="F273" s="362"/>
      <c r="G273" s="361"/>
      <c r="I273" s="349"/>
      <c r="K273" s="352"/>
      <c r="L273" s="352"/>
      <c r="N273" s="205"/>
      <c r="O273" s="352"/>
      <c r="P273" s="363"/>
      <c r="R273" s="352"/>
    </row>
    <row r="274">
      <c r="B274" s="352"/>
      <c r="C274" s="352"/>
      <c r="E274" s="361"/>
      <c r="F274" s="362"/>
      <c r="G274" s="361"/>
      <c r="I274" s="349"/>
      <c r="K274" s="352"/>
      <c r="L274" s="352"/>
      <c r="N274" s="205"/>
      <c r="O274" s="352"/>
      <c r="P274" s="363"/>
      <c r="R274" s="352"/>
    </row>
    <row r="275">
      <c r="B275" s="352"/>
      <c r="C275" s="352"/>
      <c r="E275" s="361"/>
      <c r="F275" s="362"/>
      <c r="G275" s="361"/>
      <c r="I275" s="349"/>
      <c r="K275" s="352"/>
      <c r="L275" s="352"/>
      <c r="N275" s="205"/>
      <c r="O275" s="352"/>
      <c r="P275" s="363"/>
      <c r="R275" s="352"/>
    </row>
    <row r="276">
      <c r="B276" s="352"/>
      <c r="C276" s="352"/>
      <c r="E276" s="361"/>
      <c r="F276" s="362"/>
      <c r="G276" s="361"/>
      <c r="I276" s="349"/>
      <c r="K276" s="352"/>
      <c r="L276" s="352"/>
      <c r="N276" s="205"/>
      <c r="O276" s="352"/>
      <c r="P276" s="363"/>
      <c r="R276" s="352"/>
    </row>
    <row r="277">
      <c r="B277" s="352"/>
      <c r="C277" s="352"/>
      <c r="E277" s="361"/>
      <c r="F277" s="362"/>
      <c r="G277" s="361"/>
      <c r="I277" s="349"/>
      <c r="K277" s="352"/>
      <c r="L277" s="352"/>
      <c r="N277" s="205"/>
      <c r="O277" s="352"/>
      <c r="P277" s="363"/>
      <c r="R277" s="352"/>
    </row>
    <row r="278">
      <c r="B278" s="352"/>
      <c r="C278" s="352"/>
      <c r="E278" s="361"/>
      <c r="F278" s="362"/>
      <c r="G278" s="361"/>
      <c r="I278" s="349"/>
      <c r="K278" s="352"/>
      <c r="L278" s="352"/>
      <c r="N278" s="205"/>
      <c r="O278" s="352"/>
      <c r="P278" s="363"/>
      <c r="R278" s="352"/>
    </row>
    <row r="279">
      <c r="B279" s="352"/>
      <c r="C279" s="352"/>
      <c r="E279" s="361"/>
      <c r="F279" s="362"/>
      <c r="G279" s="361"/>
      <c r="I279" s="349"/>
      <c r="K279" s="352"/>
      <c r="L279" s="352"/>
      <c r="N279" s="205"/>
      <c r="O279" s="352"/>
      <c r="P279" s="363"/>
      <c r="R279" s="352"/>
    </row>
    <row r="280">
      <c r="B280" s="352"/>
      <c r="C280" s="352"/>
      <c r="E280" s="361"/>
      <c r="F280" s="362"/>
      <c r="G280" s="361"/>
      <c r="I280" s="349"/>
      <c r="K280" s="352"/>
      <c r="L280" s="352"/>
      <c r="N280" s="205"/>
      <c r="O280" s="352"/>
      <c r="P280" s="363"/>
      <c r="R280" s="352"/>
    </row>
    <row r="281">
      <c r="B281" s="352"/>
      <c r="C281" s="352"/>
      <c r="E281" s="361"/>
      <c r="F281" s="362"/>
      <c r="G281" s="361"/>
      <c r="I281" s="349"/>
      <c r="K281" s="352"/>
      <c r="L281" s="352"/>
      <c r="N281" s="205"/>
      <c r="O281" s="352"/>
      <c r="P281" s="363"/>
      <c r="R281" s="352"/>
    </row>
    <row r="282">
      <c r="B282" s="352"/>
      <c r="C282" s="352"/>
      <c r="E282" s="361"/>
      <c r="F282" s="362"/>
      <c r="G282" s="361"/>
      <c r="I282" s="349"/>
      <c r="K282" s="352"/>
      <c r="L282" s="352"/>
      <c r="N282" s="205"/>
      <c r="O282" s="352"/>
      <c r="P282" s="363"/>
      <c r="R282" s="352"/>
    </row>
    <row r="283">
      <c r="B283" s="352"/>
      <c r="C283" s="352"/>
      <c r="E283" s="361"/>
      <c r="F283" s="362"/>
      <c r="G283" s="361"/>
      <c r="I283" s="349"/>
      <c r="K283" s="352"/>
      <c r="L283" s="352"/>
      <c r="N283" s="205"/>
      <c r="O283" s="352"/>
      <c r="P283" s="363"/>
      <c r="R283" s="352"/>
    </row>
    <row r="284">
      <c r="B284" s="352"/>
      <c r="C284" s="352"/>
      <c r="E284" s="361"/>
      <c r="F284" s="362"/>
      <c r="G284" s="361"/>
      <c r="I284" s="349"/>
      <c r="K284" s="352"/>
      <c r="L284" s="352"/>
      <c r="N284" s="205"/>
      <c r="O284" s="352"/>
      <c r="P284" s="363"/>
      <c r="R284" s="352"/>
    </row>
    <row r="285">
      <c r="B285" s="352"/>
      <c r="C285" s="352"/>
      <c r="E285" s="361"/>
      <c r="F285" s="362"/>
      <c r="G285" s="361"/>
      <c r="I285" s="349"/>
      <c r="K285" s="352"/>
      <c r="L285" s="352"/>
      <c r="N285" s="205"/>
      <c r="O285" s="352"/>
      <c r="P285" s="363"/>
      <c r="R285" s="352"/>
    </row>
    <row r="286">
      <c r="B286" s="352"/>
      <c r="C286" s="352"/>
      <c r="E286" s="361"/>
      <c r="F286" s="362"/>
      <c r="G286" s="361"/>
      <c r="I286" s="349"/>
      <c r="K286" s="352"/>
      <c r="L286" s="352"/>
      <c r="N286" s="205"/>
      <c r="O286" s="352"/>
      <c r="P286" s="363"/>
      <c r="R286" s="352"/>
    </row>
    <row r="287">
      <c r="B287" s="352"/>
      <c r="C287" s="352"/>
      <c r="E287" s="361"/>
      <c r="F287" s="362"/>
      <c r="G287" s="361"/>
      <c r="I287" s="349"/>
      <c r="K287" s="352"/>
      <c r="L287" s="352"/>
      <c r="N287" s="205"/>
      <c r="O287" s="352"/>
      <c r="P287" s="363"/>
      <c r="R287" s="352"/>
    </row>
    <row r="288">
      <c r="B288" s="352"/>
      <c r="C288" s="352"/>
      <c r="E288" s="361"/>
      <c r="F288" s="362"/>
      <c r="G288" s="361"/>
      <c r="I288" s="349"/>
      <c r="K288" s="352"/>
      <c r="L288" s="352"/>
      <c r="N288" s="205"/>
      <c r="O288" s="352"/>
      <c r="P288" s="363"/>
      <c r="R288" s="352"/>
    </row>
    <row r="289">
      <c r="B289" s="352"/>
      <c r="C289" s="352"/>
      <c r="E289" s="361"/>
      <c r="F289" s="362"/>
      <c r="G289" s="361"/>
      <c r="I289" s="349"/>
      <c r="K289" s="352"/>
      <c r="L289" s="352"/>
      <c r="N289" s="205"/>
      <c r="O289" s="352"/>
      <c r="P289" s="363"/>
      <c r="R289" s="352"/>
    </row>
    <row r="290">
      <c r="B290" s="352"/>
      <c r="C290" s="352"/>
      <c r="E290" s="361"/>
      <c r="F290" s="362"/>
      <c r="G290" s="361"/>
      <c r="I290" s="349"/>
      <c r="K290" s="352"/>
      <c r="L290" s="352"/>
      <c r="N290" s="205"/>
      <c r="O290" s="352"/>
      <c r="P290" s="363"/>
      <c r="R290" s="352"/>
    </row>
    <row r="291">
      <c r="B291" s="352"/>
      <c r="C291" s="352"/>
      <c r="E291" s="361"/>
      <c r="F291" s="362"/>
      <c r="G291" s="361"/>
      <c r="I291" s="349"/>
      <c r="K291" s="352"/>
      <c r="L291" s="352"/>
      <c r="N291" s="205"/>
      <c r="O291" s="352"/>
      <c r="P291" s="363"/>
      <c r="R291" s="352"/>
    </row>
    <row r="292">
      <c r="B292" s="352"/>
      <c r="C292" s="352"/>
      <c r="E292" s="361"/>
      <c r="F292" s="362"/>
      <c r="G292" s="361"/>
      <c r="I292" s="349"/>
      <c r="K292" s="352"/>
      <c r="L292" s="352"/>
      <c r="N292" s="205"/>
      <c r="O292" s="352"/>
      <c r="P292" s="363"/>
      <c r="R292" s="352"/>
    </row>
    <row r="293">
      <c r="B293" s="352"/>
      <c r="C293" s="352"/>
      <c r="E293" s="361"/>
      <c r="F293" s="362"/>
      <c r="G293" s="361"/>
      <c r="I293" s="349"/>
      <c r="K293" s="352"/>
      <c r="L293" s="352"/>
      <c r="N293" s="205"/>
      <c r="O293" s="352"/>
      <c r="P293" s="363"/>
      <c r="R293" s="352"/>
    </row>
    <row r="294">
      <c r="B294" s="352"/>
      <c r="C294" s="352"/>
      <c r="E294" s="361"/>
      <c r="F294" s="362"/>
      <c r="G294" s="361"/>
      <c r="I294" s="349"/>
      <c r="K294" s="352"/>
      <c r="L294" s="352"/>
      <c r="N294" s="205"/>
      <c r="O294" s="352"/>
      <c r="P294" s="363"/>
      <c r="R294" s="352"/>
    </row>
    <row r="295">
      <c r="B295" s="352"/>
      <c r="C295" s="352"/>
      <c r="E295" s="361"/>
      <c r="F295" s="362"/>
      <c r="G295" s="361"/>
      <c r="I295" s="349"/>
      <c r="K295" s="352"/>
      <c r="L295" s="352"/>
      <c r="N295" s="205"/>
      <c r="O295" s="352"/>
      <c r="P295" s="363"/>
      <c r="R295" s="352"/>
    </row>
    <row r="296">
      <c r="B296" s="352"/>
      <c r="C296" s="352"/>
      <c r="E296" s="361"/>
      <c r="F296" s="362"/>
      <c r="G296" s="361"/>
      <c r="I296" s="349"/>
      <c r="K296" s="352"/>
      <c r="L296" s="352"/>
      <c r="N296" s="205"/>
      <c r="O296" s="352"/>
      <c r="P296" s="363"/>
      <c r="R296" s="352"/>
    </row>
    <row r="297">
      <c r="B297" s="352"/>
      <c r="C297" s="352"/>
      <c r="E297" s="361"/>
      <c r="F297" s="362"/>
      <c r="G297" s="361"/>
      <c r="I297" s="349"/>
      <c r="K297" s="352"/>
      <c r="L297" s="352"/>
      <c r="N297" s="205"/>
      <c r="O297" s="352"/>
      <c r="P297" s="363"/>
      <c r="R297" s="352"/>
    </row>
    <row r="298">
      <c r="B298" s="352"/>
      <c r="C298" s="352"/>
      <c r="E298" s="361"/>
      <c r="F298" s="362"/>
      <c r="G298" s="361"/>
      <c r="I298" s="349"/>
      <c r="K298" s="352"/>
      <c r="L298" s="352"/>
      <c r="N298" s="205"/>
      <c r="O298" s="352"/>
      <c r="P298" s="363"/>
      <c r="R298" s="352"/>
    </row>
    <row r="299">
      <c r="B299" s="352"/>
      <c r="C299" s="352"/>
      <c r="E299" s="361"/>
      <c r="F299" s="362"/>
      <c r="G299" s="361"/>
      <c r="I299" s="349"/>
      <c r="K299" s="352"/>
      <c r="L299" s="352"/>
      <c r="N299" s="205"/>
      <c r="O299" s="352"/>
      <c r="P299" s="363"/>
      <c r="R299" s="352"/>
    </row>
    <row r="300">
      <c r="B300" s="352"/>
      <c r="C300" s="352"/>
      <c r="E300" s="361"/>
      <c r="F300" s="362"/>
      <c r="G300" s="361"/>
      <c r="I300" s="349"/>
      <c r="K300" s="352"/>
      <c r="L300" s="352"/>
      <c r="N300" s="205"/>
      <c r="O300" s="352"/>
      <c r="P300" s="363"/>
      <c r="R300" s="352"/>
    </row>
    <row r="301">
      <c r="B301" s="352"/>
      <c r="C301" s="352"/>
      <c r="E301" s="361"/>
      <c r="F301" s="362"/>
      <c r="G301" s="361"/>
      <c r="I301" s="349"/>
      <c r="K301" s="352"/>
      <c r="L301" s="352"/>
      <c r="N301" s="205"/>
      <c r="O301" s="352"/>
      <c r="P301" s="363"/>
      <c r="R301" s="352"/>
    </row>
    <row r="302">
      <c r="B302" s="352"/>
      <c r="C302" s="352"/>
      <c r="E302" s="361"/>
      <c r="F302" s="362"/>
      <c r="G302" s="361"/>
      <c r="I302" s="349"/>
      <c r="K302" s="352"/>
      <c r="L302" s="352"/>
      <c r="N302" s="205"/>
      <c r="O302" s="352"/>
      <c r="P302" s="363"/>
      <c r="R302" s="352"/>
    </row>
    <row r="303">
      <c r="B303" s="352"/>
      <c r="C303" s="352"/>
      <c r="E303" s="361"/>
      <c r="F303" s="362"/>
      <c r="G303" s="361"/>
      <c r="I303" s="349"/>
      <c r="K303" s="352"/>
      <c r="L303" s="352"/>
      <c r="N303" s="205"/>
      <c r="O303" s="352"/>
      <c r="P303" s="363"/>
      <c r="R303" s="352"/>
    </row>
    <row r="304">
      <c r="B304" s="352"/>
      <c r="C304" s="352"/>
      <c r="E304" s="361"/>
      <c r="F304" s="362"/>
      <c r="G304" s="361"/>
      <c r="I304" s="349"/>
      <c r="K304" s="352"/>
      <c r="L304" s="352"/>
      <c r="N304" s="205"/>
      <c r="O304" s="352"/>
      <c r="P304" s="363"/>
      <c r="R304" s="352"/>
    </row>
    <row r="305">
      <c r="B305" s="352"/>
      <c r="C305" s="352"/>
      <c r="E305" s="361"/>
      <c r="F305" s="362"/>
      <c r="G305" s="361"/>
      <c r="I305" s="349"/>
      <c r="K305" s="352"/>
      <c r="L305" s="352"/>
      <c r="N305" s="205"/>
      <c r="O305" s="352"/>
      <c r="P305" s="363"/>
      <c r="R305" s="352"/>
    </row>
    <row r="306">
      <c r="B306" s="352"/>
      <c r="C306" s="352"/>
      <c r="E306" s="361"/>
      <c r="F306" s="362"/>
      <c r="G306" s="361"/>
      <c r="I306" s="349"/>
      <c r="K306" s="352"/>
      <c r="L306" s="352"/>
      <c r="N306" s="205"/>
      <c r="O306" s="352"/>
      <c r="P306" s="363"/>
      <c r="R306" s="352"/>
    </row>
    <row r="307">
      <c r="B307" s="352"/>
      <c r="C307" s="352"/>
      <c r="E307" s="361"/>
      <c r="F307" s="362"/>
      <c r="G307" s="361"/>
      <c r="I307" s="349"/>
      <c r="K307" s="352"/>
      <c r="L307" s="352"/>
      <c r="N307" s="205"/>
      <c r="O307" s="352"/>
      <c r="P307" s="363"/>
      <c r="R307" s="352"/>
    </row>
    <row r="308">
      <c r="B308" s="352"/>
      <c r="C308" s="352"/>
      <c r="E308" s="361"/>
      <c r="F308" s="362"/>
      <c r="G308" s="361"/>
      <c r="I308" s="349"/>
      <c r="K308" s="352"/>
      <c r="L308" s="352"/>
      <c r="N308" s="205"/>
      <c r="O308" s="352"/>
      <c r="P308" s="363"/>
      <c r="R308" s="352"/>
    </row>
    <row r="309">
      <c r="B309" s="352"/>
      <c r="C309" s="352"/>
      <c r="E309" s="361"/>
      <c r="F309" s="362"/>
      <c r="G309" s="361"/>
      <c r="I309" s="349"/>
      <c r="K309" s="352"/>
      <c r="L309" s="352"/>
      <c r="N309" s="205"/>
      <c r="O309" s="352"/>
      <c r="P309" s="363"/>
      <c r="R309" s="352"/>
    </row>
    <row r="310">
      <c r="B310" s="352"/>
      <c r="C310" s="352"/>
      <c r="E310" s="361"/>
      <c r="F310" s="362"/>
      <c r="G310" s="361"/>
      <c r="I310" s="349"/>
      <c r="K310" s="352"/>
      <c r="L310" s="352"/>
      <c r="N310" s="205"/>
      <c r="O310" s="352"/>
      <c r="P310" s="363"/>
      <c r="R310" s="352"/>
    </row>
    <row r="311">
      <c r="B311" s="352"/>
      <c r="C311" s="352"/>
      <c r="E311" s="361"/>
      <c r="F311" s="362"/>
      <c r="G311" s="361"/>
      <c r="I311" s="349"/>
      <c r="K311" s="352"/>
      <c r="L311" s="352"/>
      <c r="N311" s="205"/>
      <c r="O311" s="352"/>
      <c r="P311" s="363"/>
      <c r="R311" s="352"/>
    </row>
    <row r="312">
      <c r="B312" s="352"/>
      <c r="C312" s="352"/>
      <c r="E312" s="361"/>
      <c r="F312" s="362"/>
      <c r="G312" s="361"/>
      <c r="I312" s="349"/>
      <c r="K312" s="352"/>
      <c r="L312" s="352"/>
      <c r="N312" s="205"/>
      <c r="O312" s="352"/>
      <c r="P312" s="363"/>
      <c r="R312" s="352"/>
    </row>
    <row r="313">
      <c r="B313" s="352"/>
      <c r="C313" s="352"/>
      <c r="E313" s="361"/>
      <c r="F313" s="362"/>
      <c r="G313" s="361"/>
      <c r="I313" s="349"/>
      <c r="K313" s="352"/>
      <c r="L313" s="352"/>
      <c r="N313" s="205"/>
      <c r="O313" s="352"/>
      <c r="P313" s="363"/>
      <c r="R313" s="352"/>
    </row>
    <row r="314">
      <c r="B314" s="352"/>
      <c r="C314" s="352"/>
      <c r="E314" s="361"/>
      <c r="F314" s="362"/>
      <c r="G314" s="361"/>
      <c r="I314" s="349"/>
      <c r="K314" s="352"/>
      <c r="L314" s="352"/>
      <c r="N314" s="205"/>
      <c r="O314" s="352"/>
      <c r="P314" s="363"/>
      <c r="R314" s="352"/>
    </row>
    <row r="315">
      <c r="B315" s="352"/>
      <c r="C315" s="352"/>
      <c r="E315" s="361"/>
      <c r="F315" s="362"/>
      <c r="G315" s="361"/>
      <c r="I315" s="349"/>
      <c r="K315" s="352"/>
      <c r="L315" s="352"/>
      <c r="N315" s="205"/>
      <c r="O315" s="352"/>
      <c r="P315" s="363"/>
      <c r="R315" s="352"/>
    </row>
    <row r="316">
      <c r="B316" s="352"/>
      <c r="C316" s="352"/>
      <c r="E316" s="361"/>
      <c r="F316" s="362"/>
      <c r="G316" s="361"/>
      <c r="I316" s="349"/>
      <c r="K316" s="352"/>
      <c r="L316" s="352"/>
      <c r="N316" s="205"/>
      <c r="O316" s="352"/>
      <c r="P316" s="363"/>
      <c r="R316" s="352"/>
    </row>
    <row r="317">
      <c r="B317" s="352"/>
      <c r="C317" s="352"/>
      <c r="E317" s="361"/>
      <c r="F317" s="362"/>
      <c r="G317" s="361"/>
      <c r="I317" s="349"/>
      <c r="K317" s="352"/>
      <c r="L317" s="352"/>
      <c r="N317" s="205"/>
      <c r="O317" s="352"/>
      <c r="P317" s="363"/>
      <c r="R317" s="352"/>
    </row>
    <row r="318">
      <c r="B318" s="352"/>
      <c r="C318" s="352"/>
      <c r="E318" s="361"/>
      <c r="F318" s="362"/>
      <c r="G318" s="361"/>
      <c r="I318" s="349"/>
      <c r="K318" s="352"/>
      <c r="L318" s="352"/>
      <c r="N318" s="205"/>
      <c r="O318" s="352"/>
      <c r="P318" s="363"/>
      <c r="R318" s="352"/>
    </row>
    <row r="319">
      <c r="B319" s="352"/>
      <c r="C319" s="352"/>
      <c r="E319" s="361"/>
      <c r="F319" s="362"/>
      <c r="G319" s="361"/>
      <c r="I319" s="349"/>
      <c r="K319" s="352"/>
      <c r="L319" s="352"/>
      <c r="N319" s="205"/>
      <c r="O319" s="352"/>
      <c r="P319" s="363"/>
      <c r="R319" s="352"/>
    </row>
    <row r="320">
      <c r="B320" s="352"/>
      <c r="C320" s="352"/>
      <c r="E320" s="361"/>
      <c r="F320" s="362"/>
      <c r="G320" s="361"/>
      <c r="I320" s="349"/>
      <c r="K320" s="352"/>
      <c r="L320" s="352"/>
      <c r="N320" s="205"/>
      <c r="O320" s="352"/>
      <c r="P320" s="363"/>
      <c r="R320" s="352"/>
    </row>
    <row r="321">
      <c r="B321" s="352"/>
      <c r="C321" s="352"/>
      <c r="E321" s="361"/>
      <c r="F321" s="362"/>
      <c r="G321" s="361"/>
      <c r="I321" s="349"/>
      <c r="K321" s="352"/>
      <c r="L321" s="352"/>
      <c r="N321" s="205"/>
      <c r="O321" s="352"/>
      <c r="P321" s="363"/>
      <c r="R321" s="352"/>
    </row>
    <row r="322">
      <c r="B322" s="352"/>
      <c r="C322" s="352"/>
      <c r="E322" s="361"/>
      <c r="F322" s="362"/>
      <c r="G322" s="361"/>
      <c r="I322" s="349"/>
      <c r="K322" s="352"/>
      <c r="L322" s="352"/>
      <c r="N322" s="205"/>
      <c r="O322" s="352"/>
      <c r="P322" s="363"/>
      <c r="R322" s="352"/>
    </row>
    <row r="323">
      <c r="B323" s="352"/>
      <c r="C323" s="352"/>
      <c r="E323" s="361"/>
      <c r="F323" s="362"/>
      <c r="G323" s="361"/>
      <c r="I323" s="349"/>
      <c r="K323" s="352"/>
      <c r="L323" s="352"/>
      <c r="N323" s="205"/>
      <c r="O323" s="352"/>
      <c r="P323" s="363"/>
      <c r="R323" s="352"/>
    </row>
    <row r="324">
      <c r="B324" s="352"/>
      <c r="C324" s="352"/>
      <c r="E324" s="361"/>
      <c r="F324" s="362"/>
      <c r="G324" s="361"/>
      <c r="I324" s="349"/>
      <c r="K324" s="352"/>
      <c r="L324" s="352"/>
      <c r="N324" s="205"/>
      <c r="O324" s="352"/>
      <c r="P324" s="363"/>
      <c r="R324" s="352"/>
    </row>
    <row r="325">
      <c r="B325" s="352"/>
      <c r="C325" s="352"/>
      <c r="E325" s="361"/>
      <c r="F325" s="362"/>
      <c r="G325" s="361"/>
      <c r="I325" s="349"/>
      <c r="K325" s="352"/>
      <c r="L325" s="352"/>
      <c r="N325" s="205"/>
      <c r="O325" s="352"/>
      <c r="P325" s="363"/>
      <c r="R325" s="352"/>
    </row>
    <row r="326">
      <c r="B326" s="352"/>
      <c r="C326" s="352"/>
      <c r="E326" s="361"/>
      <c r="F326" s="362"/>
      <c r="G326" s="361"/>
      <c r="I326" s="349"/>
      <c r="K326" s="352"/>
      <c r="L326" s="352"/>
      <c r="N326" s="205"/>
      <c r="O326" s="352"/>
      <c r="P326" s="363"/>
      <c r="R326" s="352"/>
    </row>
    <row r="327">
      <c r="B327" s="352"/>
      <c r="C327" s="352"/>
      <c r="E327" s="361"/>
      <c r="F327" s="362"/>
      <c r="G327" s="361"/>
      <c r="I327" s="349"/>
      <c r="K327" s="352"/>
      <c r="L327" s="352"/>
      <c r="N327" s="205"/>
      <c r="O327" s="352"/>
      <c r="P327" s="363"/>
      <c r="R327" s="352"/>
    </row>
    <row r="328">
      <c r="B328" s="352"/>
      <c r="C328" s="352"/>
      <c r="E328" s="361"/>
      <c r="F328" s="362"/>
      <c r="G328" s="361"/>
      <c r="I328" s="349"/>
      <c r="K328" s="352"/>
      <c r="L328" s="352"/>
      <c r="N328" s="205"/>
      <c r="O328" s="352"/>
      <c r="P328" s="363"/>
      <c r="R328" s="352"/>
    </row>
    <row r="329">
      <c r="B329" s="352"/>
      <c r="C329" s="352"/>
      <c r="E329" s="361"/>
      <c r="F329" s="362"/>
      <c r="G329" s="361"/>
      <c r="I329" s="349"/>
      <c r="K329" s="352"/>
      <c r="L329" s="352"/>
      <c r="N329" s="205"/>
      <c r="O329" s="352"/>
      <c r="P329" s="363"/>
      <c r="R329" s="352"/>
    </row>
    <row r="330">
      <c r="B330" s="352"/>
      <c r="C330" s="352"/>
      <c r="E330" s="361"/>
      <c r="F330" s="362"/>
      <c r="G330" s="361"/>
      <c r="I330" s="349"/>
      <c r="K330" s="352"/>
      <c r="L330" s="352"/>
      <c r="N330" s="205"/>
      <c r="O330" s="352"/>
      <c r="P330" s="363"/>
      <c r="R330" s="352"/>
    </row>
    <row r="331">
      <c r="B331" s="352"/>
      <c r="C331" s="352"/>
      <c r="E331" s="361"/>
      <c r="F331" s="362"/>
      <c r="G331" s="361"/>
      <c r="I331" s="349"/>
      <c r="K331" s="352"/>
      <c r="L331" s="352"/>
      <c r="N331" s="205"/>
      <c r="O331" s="352"/>
      <c r="P331" s="363"/>
      <c r="R331" s="352"/>
    </row>
    <row r="332">
      <c r="B332" s="352"/>
      <c r="C332" s="352"/>
      <c r="E332" s="361"/>
      <c r="F332" s="362"/>
      <c r="G332" s="361"/>
      <c r="I332" s="349"/>
      <c r="K332" s="352"/>
      <c r="L332" s="352"/>
      <c r="N332" s="205"/>
      <c r="O332" s="352"/>
      <c r="P332" s="363"/>
      <c r="R332" s="352"/>
    </row>
    <row r="333">
      <c r="B333" s="352"/>
      <c r="C333" s="352"/>
      <c r="E333" s="361"/>
      <c r="F333" s="362"/>
      <c r="G333" s="361"/>
      <c r="I333" s="349"/>
      <c r="K333" s="352"/>
      <c r="L333" s="352"/>
      <c r="N333" s="205"/>
      <c r="O333" s="352"/>
      <c r="P333" s="363"/>
      <c r="R333" s="352"/>
    </row>
    <row r="334">
      <c r="B334" s="352"/>
      <c r="C334" s="352"/>
      <c r="E334" s="361"/>
      <c r="F334" s="362"/>
      <c r="G334" s="361"/>
      <c r="I334" s="349"/>
      <c r="K334" s="352"/>
      <c r="L334" s="352"/>
      <c r="N334" s="205"/>
      <c r="O334" s="352"/>
      <c r="P334" s="363"/>
      <c r="R334" s="352"/>
    </row>
    <row r="335">
      <c r="B335" s="352"/>
      <c r="C335" s="352"/>
      <c r="E335" s="361"/>
      <c r="F335" s="362"/>
      <c r="G335" s="361"/>
      <c r="I335" s="349"/>
      <c r="K335" s="352"/>
      <c r="L335" s="352"/>
      <c r="N335" s="205"/>
      <c r="O335" s="352"/>
      <c r="P335" s="363"/>
      <c r="R335" s="352"/>
    </row>
    <row r="336">
      <c r="B336" s="352"/>
      <c r="C336" s="352"/>
      <c r="E336" s="361"/>
      <c r="F336" s="362"/>
      <c r="G336" s="361"/>
      <c r="I336" s="349"/>
      <c r="K336" s="352"/>
      <c r="L336" s="352"/>
      <c r="N336" s="205"/>
      <c r="O336" s="352"/>
      <c r="P336" s="363"/>
      <c r="R336" s="352"/>
    </row>
    <row r="337">
      <c r="B337" s="352"/>
      <c r="C337" s="352"/>
      <c r="E337" s="361"/>
      <c r="F337" s="362"/>
      <c r="G337" s="361"/>
      <c r="I337" s="349"/>
      <c r="K337" s="352"/>
      <c r="L337" s="352"/>
      <c r="N337" s="205"/>
      <c r="O337" s="352"/>
      <c r="P337" s="363"/>
      <c r="R337" s="352"/>
    </row>
    <row r="338">
      <c r="B338" s="352"/>
      <c r="C338" s="352"/>
      <c r="E338" s="361"/>
      <c r="F338" s="362"/>
      <c r="G338" s="361"/>
      <c r="I338" s="349"/>
      <c r="K338" s="352"/>
      <c r="L338" s="352"/>
      <c r="N338" s="205"/>
      <c r="O338" s="352"/>
      <c r="P338" s="363"/>
      <c r="R338" s="352"/>
    </row>
    <row r="339">
      <c r="B339" s="352"/>
      <c r="C339" s="352"/>
      <c r="E339" s="361"/>
      <c r="F339" s="362"/>
      <c r="G339" s="361"/>
      <c r="I339" s="349"/>
      <c r="K339" s="352"/>
      <c r="L339" s="352"/>
      <c r="N339" s="205"/>
      <c r="O339" s="352"/>
      <c r="P339" s="363"/>
      <c r="R339" s="352"/>
    </row>
    <row r="340">
      <c r="B340" s="352"/>
      <c r="C340" s="352"/>
      <c r="E340" s="361"/>
      <c r="F340" s="362"/>
      <c r="G340" s="361"/>
      <c r="I340" s="349"/>
      <c r="K340" s="352"/>
      <c r="L340" s="352"/>
      <c r="N340" s="205"/>
      <c r="O340" s="352"/>
      <c r="P340" s="363"/>
      <c r="R340" s="352"/>
    </row>
    <row r="341">
      <c r="B341" s="352"/>
      <c r="C341" s="352"/>
      <c r="E341" s="361"/>
      <c r="F341" s="362"/>
      <c r="G341" s="361"/>
      <c r="I341" s="349"/>
      <c r="K341" s="352"/>
      <c r="L341" s="352"/>
      <c r="N341" s="205"/>
      <c r="O341" s="352"/>
      <c r="P341" s="363"/>
      <c r="R341" s="352"/>
    </row>
    <row r="342">
      <c r="B342" s="352"/>
      <c r="C342" s="352"/>
      <c r="E342" s="361"/>
      <c r="F342" s="362"/>
      <c r="G342" s="361"/>
      <c r="I342" s="349"/>
      <c r="K342" s="352"/>
      <c r="L342" s="352"/>
      <c r="N342" s="205"/>
      <c r="O342" s="352"/>
      <c r="P342" s="363"/>
      <c r="R342" s="352"/>
    </row>
    <row r="343">
      <c r="B343" s="352"/>
      <c r="C343" s="352"/>
      <c r="E343" s="361"/>
      <c r="F343" s="362"/>
      <c r="G343" s="361"/>
      <c r="I343" s="349"/>
      <c r="K343" s="352"/>
      <c r="L343" s="352"/>
      <c r="N343" s="205"/>
      <c r="O343" s="352"/>
      <c r="P343" s="363"/>
      <c r="R343" s="352"/>
    </row>
    <row r="344">
      <c r="B344" s="352"/>
      <c r="C344" s="352"/>
      <c r="E344" s="361"/>
      <c r="F344" s="362"/>
      <c r="G344" s="361"/>
      <c r="I344" s="349"/>
      <c r="K344" s="352"/>
      <c r="L344" s="352"/>
      <c r="N344" s="205"/>
      <c r="O344" s="352"/>
      <c r="P344" s="363"/>
      <c r="R344" s="352"/>
    </row>
    <row r="345">
      <c r="B345" s="352"/>
      <c r="C345" s="352"/>
      <c r="E345" s="361"/>
      <c r="F345" s="362"/>
      <c r="G345" s="361"/>
      <c r="I345" s="349"/>
      <c r="K345" s="352"/>
      <c r="L345" s="352"/>
      <c r="N345" s="205"/>
      <c r="O345" s="352"/>
      <c r="P345" s="363"/>
      <c r="R345" s="352"/>
    </row>
    <row r="346">
      <c r="B346" s="352"/>
      <c r="C346" s="352"/>
      <c r="E346" s="361"/>
      <c r="F346" s="362"/>
      <c r="G346" s="361"/>
      <c r="I346" s="349"/>
      <c r="K346" s="352"/>
      <c r="L346" s="352"/>
      <c r="N346" s="205"/>
      <c r="O346" s="352"/>
      <c r="P346" s="363"/>
      <c r="R346" s="352"/>
    </row>
    <row r="347">
      <c r="B347" s="352"/>
      <c r="C347" s="352"/>
      <c r="E347" s="361"/>
      <c r="F347" s="362"/>
      <c r="G347" s="361"/>
      <c r="I347" s="349"/>
      <c r="K347" s="352"/>
      <c r="L347" s="352"/>
      <c r="N347" s="205"/>
      <c r="O347" s="352"/>
      <c r="P347" s="363"/>
      <c r="R347" s="352"/>
    </row>
    <row r="348">
      <c r="B348" s="352"/>
      <c r="C348" s="352"/>
      <c r="E348" s="361"/>
      <c r="F348" s="362"/>
      <c r="G348" s="361"/>
      <c r="I348" s="349"/>
      <c r="K348" s="352"/>
      <c r="L348" s="352"/>
      <c r="N348" s="205"/>
      <c r="O348" s="352"/>
      <c r="P348" s="363"/>
      <c r="R348" s="352"/>
    </row>
    <row r="349">
      <c r="B349" s="352"/>
      <c r="C349" s="352"/>
      <c r="E349" s="361"/>
      <c r="F349" s="362"/>
      <c r="G349" s="361"/>
      <c r="I349" s="349"/>
      <c r="K349" s="352"/>
      <c r="L349" s="352"/>
      <c r="N349" s="205"/>
      <c r="O349" s="352"/>
      <c r="P349" s="363"/>
      <c r="R349" s="352"/>
    </row>
    <row r="350">
      <c r="B350" s="352"/>
      <c r="C350" s="352"/>
      <c r="E350" s="361"/>
      <c r="F350" s="362"/>
      <c r="G350" s="361"/>
      <c r="I350" s="349"/>
      <c r="K350" s="352"/>
      <c r="L350" s="352"/>
      <c r="N350" s="205"/>
      <c r="O350" s="352"/>
      <c r="P350" s="363"/>
      <c r="R350" s="352"/>
    </row>
    <row r="351">
      <c r="B351" s="352"/>
      <c r="C351" s="352"/>
      <c r="E351" s="361"/>
      <c r="F351" s="362"/>
      <c r="G351" s="361"/>
      <c r="I351" s="349"/>
      <c r="K351" s="352"/>
      <c r="L351" s="352"/>
      <c r="N351" s="205"/>
      <c r="O351" s="352"/>
      <c r="P351" s="363"/>
      <c r="R351" s="352"/>
    </row>
    <row r="352">
      <c r="B352" s="352"/>
      <c r="C352" s="352"/>
      <c r="E352" s="361"/>
      <c r="F352" s="362"/>
      <c r="G352" s="361"/>
      <c r="I352" s="349"/>
      <c r="K352" s="352"/>
      <c r="L352" s="352"/>
      <c r="N352" s="205"/>
      <c r="O352" s="352"/>
      <c r="P352" s="363"/>
      <c r="R352" s="352"/>
    </row>
    <row r="353">
      <c r="B353" s="352"/>
      <c r="C353" s="352"/>
      <c r="E353" s="361"/>
      <c r="F353" s="362"/>
      <c r="G353" s="361"/>
      <c r="I353" s="349"/>
      <c r="K353" s="352"/>
      <c r="L353" s="352"/>
      <c r="N353" s="205"/>
      <c r="O353" s="352"/>
      <c r="P353" s="363"/>
      <c r="R353" s="352"/>
    </row>
    <row r="354">
      <c r="B354" s="352"/>
      <c r="C354" s="352"/>
      <c r="E354" s="361"/>
      <c r="F354" s="362"/>
      <c r="G354" s="361"/>
      <c r="I354" s="349"/>
      <c r="K354" s="352"/>
      <c r="L354" s="352"/>
      <c r="N354" s="205"/>
      <c r="O354" s="352"/>
      <c r="P354" s="363"/>
      <c r="R354" s="352"/>
    </row>
    <row r="355">
      <c r="B355" s="352"/>
      <c r="C355" s="352"/>
      <c r="E355" s="361"/>
      <c r="F355" s="362"/>
      <c r="G355" s="361"/>
      <c r="I355" s="349"/>
      <c r="K355" s="352"/>
      <c r="L355" s="352"/>
      <c r="N355" s="205"/>
      <c r="O355" s="352"/>
      <c r="P355" s="363"/>
      <c r="R355" s="352"/>
    </row>
    <row r="356">
      <c r="B356" s="352"/>
      <c r="C356" s="352"/>
      <c r="E356" s="361"/>
      <c r="F356" s="362"/>
      <c r="G356" s="361"/>
      <c r="I356" s="349"/>
      <c r="K356" s="352"/>
      <c r="L356" s="352"/>
      <c r="N356" s="205"/>
      <c r="O356" s="352"/>
      <c r="P356" s="363"/>
      <c r="R356" s="352"/>
    </row>
    <row r="357">
      <c r="B357" s="352"/>
      <c r="C357" s="352"/>
      <c r="E357" s="361"/>
      <c r="F357" s="362"/>
      <c r="G357" s="361"/>
      <c r="I357" s="349"/>
      <c r="K357" s="352"/>
      <c r="L357" s="352"/>
      <c r="N357" s="205"/>
      <c r="O357" s="352"/>
      <c r="P357" s="363"/>
      <c r="R357" s="352"/>
    </row>
    <row r="358">
      <c r="B358" s="352"/>
      <c r="C358" s="352"/>
      <c r="E358" s="361"/>
      <c r="F358" s="362"/>
      <c r="G358" s="361"/>
      <c r="I358" s="349"/>
      <c r="K358" s="352"/>
      <c r="L358" s="352"/>
      <c r="N358" s="205"/>
      <c r="O358" s="352"/>
      <c r="P358" s="363"/>
      <c r="R358" s="352"/>
    </row>
    <row r="359">
      <c r="B359" s="352"/>
      <c r="C359" s="352"/>
      <c r="E359" s="361"/>
      <c r="F359" s="362"/>
      <c r="G359" s="361"/>
      <c r="I359" s="349"/>
      <c r="K359" s="352"/>
      <c r="L359" s="352"/>
      <c r="N359" s="205"/>
      <c r="O359" s="352"/>
      <c r="P359" s="363"/>
      <c r="R359" s="352"/>
    </row>
    <row r="360">
      <c r="B360" s="352"/>
      <c r="C360" s="352"/>
      <c r="E360" s="361"/>
      <c r="F360" s="362"/>
      <c r="G360" s="361"/>
      <c r="I360" s="349"/>
      <c r="K360" s="352"/>
      <c r="L360" s="352"/>
      <c r="N360" s="205"/>
      <c r="O360" s="352"/>
      <c r="P360" s="363"/>
      <c r="R360" s="352"/>
    </row>
    <row r="361">
      <c r="B361" s="352"/>
      <c r="C361" s="352"/>
      <c r="E361" s="361"/>
      <c r="F361" s="362"/>
      <c r="G361" s="361"/>
      <c r="I361" s="349"/>
      <c r="K361" s="352"/>
      <c r="L361" s="352"/>
      <c r="N361" s="205"/>
      <c r="O361" s="352"/>
      <c r="P361" s="363"/>
      <c r="R361" s="352"/>
    </row>
    <row r="362">
      <c r="B362" s="352"/>
      <c r="C362" s="352"/>
      <c r="E362" s="361"/>
      <c r="F362" s="362"/>
      <c r="G362" s="361"/>
      <c r="I362" s="349"/>
      <c r="K362" s="352"/>
      <c r="L362" s="352"/>
      <c r="N362" s="205"/>
      <c r="O362" s="352"/>
      <c r="P362" s="363"/>
      <c r="R362" s="352"/>
    </row>
    <row r="363">
      <c r="B363" s="352"/>
      <c r="C363" s="352"/>
      <c r="E363" s="361"/>
      <c r="F363" s="362"/>
      <c r="G363" s="361"/>
      <c r="I363" s="349"/>
      <c r="K363" s="352"/>
      <c r="L363" s="352"/>
      <c r="N363" s="205"/>
      <c r="O363" s="352"/>
      <c r="P363" s="363"/>
      <c r="R363" s="352"/>
    </row>
    <row r="364">
      <c r="B364" s="352"/>
      <c r="C364" s="352"/>
      <c r="E364" s="361"/>
      <c r="F364" s="362"/>
      <c r="G364" s="361"/>
      <c r="I364" s="349"/>
      <c r="K364" s="352"/>
      <c r="L364" s="352"/>
      <c r="N364" s="205"/>
      <c r="O364" s="352"/>
      <c r="P364" s="363"/>
      <c r="R364" s="352"/>
    </row>
    <row r="365">
      <c r="B365" s="352"/>
      <c r="C365" s="352"/>
      <c r="E365" s="361"/>
      <c r="F365" s="362"/>
      <c r="G365" s="361"/>
      <c r="I365" s="349"/>
      <c r="K365" s="352"/>
      <c r="L365" s="352"/>
      <c r="N365" s="205"/>
      <c r="O365" s="352"/>
      <c r="P365" s="363"/>
      <c r="R365" s="352"/>
    </row>
    <row r="366">
      <c r="B366" s="352"/>
      <c r="C366" s="352"/>
      <c r="E366" s="361"/>
      <c r="F366" s="362"/>
      <c r="G366" s="361"/>
      <c r="I366" s="349"/>
      <c r="K366" s="352"/>
      <c r="L366" s="352"/>
      <c r="N366" s="205"/>
      <c r="O366" s="352"/>
      <c r="P366" s="363"/>
      <c r="R366" s="352"/>
    </row>
    <row r="367">
      <c r="B367" s="352"/>
      <c r="C367" s="352"/>
      <c r="E367" s="361"/>
      <c r="F367" s="362"/>
      <c r="G367" s="361"/>
      <c r="I367" s="349"/>
      <c r="K367" s="352"/>
      <c r="L367" s="352"/>
      <c r="N367" s="205"/>
      <c r="O367" s="352"/>
      <c r="P367" s="363"/>
      <c r="R367" s="352"/>
    </row>
    <row r="368">
      <c r="B368" s="352"/>
      <c r="C368" s="352"/>
      <c r="E368" s="361"/>
      <c r="F368" s="362"/>
      <c r="G368" s="361"/>
      <c r="I368" s="349"/>
      <c r="K368" s="352"/>
      <c r="L368" s="352"/>
      <c r="N368" s="205"/>
      <c r="O368" s="352"/>
      <c r="P368" s="363"/>
      <c r="R368" s="352"/>
    </row>
    <row r="369">
      <c r="B369" s="352"/>
      <c r="C369" s="352"/>
      <c r="E369" s="361"/>
      <c r="F369" s="362"/>
      <c r="G369" s="361"/>
      <c r="I369" s="349"/>
      <c r="K369" s="352"/>
      <c r="L369" s="352"/>
      <c r="N369" s="205"/>
      <c r="O369" s="352"/>
      <c r="P369" s="363"/>
      <c r="R369" s="352"/>
    </row>
    <row r="370">
      <c r="B370" s="352"/>
      <c r="C370" s="352"/>
      <c r="E370" s="361"/>
      <c r="F370" s="362"/>
      <c r="G370" s="361"/>
      <c r="I370" s="349"/>
      <c r="K370" s="352"/>
      <c r="L370" s="352"/>
      <c r="N370" s="205"/>
      <c r="O370" s="352"/>
      <c r="P370" s="363"/>
      <c r="R370" s="352"/>
    </row>
    <row r="371">
      <c r="B371" s="352"/>
      <c r="C371" s="352"/>
      <c r="E371" s="361"/>
      <c r="F371" s="362"/>
      <c r="G371" s="361"/>
      <c r="I371" s="349"/>
      <c r="K371" s="352"/>
      <c r="L371" s="352"/>
      <c r="N371" s="205"/>
      <c r="O371" s="352"/>
      <c r="P371" s="363"/>
      <c r="R371" s="352"/>
    </row>
    <row r="372">
      <c r="B372" s="352"/>
      <c r="C372" s="352"/>
      <c r="E372" s="361"/>
      <c r="F372" s="362"/>
      <c r="G372" s="361"/>
      <c r="I372" s="349"/>
      <c r="K372" s="352"/>
      <c r="L372" s="352"/>
      <c r="N372" s="205"/>
      <c r="O372" s="352"/>
      <c r="P372" s="363"/>
      <c r="R372" s="352"/>
    </row>
    <row r="373">
      <c r="B373" s="352"/>
      <c r="C373" s="352"/>
      <c r="E373" s="361"/>
      <c r="F373" s="362"/>
      <c r="G373" s="361"/>
      <c r="I373" s="349"/>
      <c r="K373" s="352"/>
      <c r="L373" s="352"/>
      <c r="N373" s="205"/>
      <c r="O373" s="352"/>
      <c r="P373" s="363"/>
      <c r="R373" s="352"/>
    </row>
    <row r="374">
      <c r="B374" s="352"/>
      <c r="C374" s="352"/>
      <c r="E374" s="361"/>
      <c r="F374" s="362"/>
      <c r="G374" s="361"/>
      <c r="I374" s="349"/>
      <c r="K374" s="352"/>
      <c r="L374" s="352"/>
      <c r="N374" s="205"/>
      <c r="O374" s="352"/>
      <c r="P374" s="363"/>
      <c r="R374" s="352"/>
    </row>
    <row r="375">
      <c r="B375" s="352"/>
      <c r="C375" s="352"/>
      <c r="E375" s="361"/>
      <c r="F375" s="362"/>
      <c r="G375" s="361"/>
      <c r="I375" s="349"/>
      <c r="K375" s="352"/>
      <c r="L375" s="352"/>
      <c r="N375" s="205"/>
      <c r="O375" s="352"/>
      <c r="P375" s="363"/>
      <c r="R375" s="352"/>
    </row>
    <row r="376">
      <c r="B376" s="352"/>
      <c r="C376" s="352"/>
      <c r="E376" s="361"/>
      <c r="F376" s="362"/>
      <c r="G376" s="361"/>
      <c r="I376" s="349"/>
      <c r="K376" s="352"/>
      <c r="L376" s="352"/>
      <c r="N376" s="205"/>
      <c r="O376" s="352"/>
      <c r="P376" s="363"/>
      <c r="R376" s="352"/>
    </row>
    <row r="377">
      <c r="B377" s="352"/>
      <c r="C377" s="352"/>
      <c r="E377" s="361"/>
      <c r="F377" s="362"/>
      <c r="G377" s="361"/>
      <c r="I377" s="349"/>
      <c r="K377" s="352"/>
      <c r="L377" s="352"/>
      <c r="N377" s="205"/>
      <c r="O377" s="352"/>
      <c r="P377" s="363"/>
      <c r="R377" s="352"/>
    </row>
    <row r="378">
      <c r="B378" s="352"/>
      <c r="C378" s="352"/>
      <c r="E378" s="361"/>
      <c r="F378" s="362"/>
      <c r="G378" s="361"/>
      <c r="I378" s="349"/>
      <c r="K378" s="352"/>
      <c r="L378" s="352"/>
      <c r="N378" s="205"/>
      <c r="O378" s="352"/>
      <c r="P378" s="363"/>
      <c r="R378" s="352"/>
    </row>
    <row r="379">
      <c r="B379" s="352"/>
      <c r="C379" s="352"/>
      <c r="E379" s="361"/>
      <c r="F379" s="362"/>
      <c r="G379" s="361"/>
      <c r="I379" s="349"/>
      <c r="K379" s="352"/>
      <c r="L379" s="352"/>
      <c r="N379" s="205"/>
      <c r="O379" s="352"/>
      <c r="P379" s="363"/>
      <c r="R379" s="352"/>
    </row>
    <row r="380">
      <c r="B380" s="352"/>
      <c r="C380" s="352"/>
      <c r="E380" s="361"/>
      <c r="F380" s="362"/>
      <c r="G380" s="361"/>
      <c r="I380" s="349"/>
      <c r="K380" s="352"/>
      <c r="L380" s="352"/>
      <c r="N380" s="205"/>
      <c r="O380" s="352"/>
      <c r="P380" s="363"/>
      <c r="R380" s="352"/>
    </row>
    <row r="381">
      <c r="B381" s="352"/>
      <c r="C381" s="352"/>
      <c r="E381" s="361"/>
      <c r="F381" s="362"/>
      <c r="G381" s="361"/>
      <c r="I381" s="349"/>
      <c r="K381" s="352"/>
      <c r="L381" s="352"/>
      <c r="N381" s="205"/>
      <c r="O381" s="352"/>
      <c r="P381" s="363"/>
      <c r="R381" s="352"/>
    </row>
    <row r="382">
      <c r="B382" s="352"/>
      <c r="C382" s="352"/>
      <c r="E382" s="361"/>
      <c r="F382" s="362"/>
      <c r="G382" s="361"/>
      <c r="I382" s="349"/>
      <c r="K382" s="352"/>
      <c r="L382" s="352"/>
      <c r="N382" s="205"/>
      <c r="O382" s="352"/>
      <c r="P382" s="363"/>
      <c r="R382" s="352"/>
    </row>
    <row r="383">
      <c r="B383" s="352"/>
      <c r="C383" s="352"/>
      <c r="E383" s="361"/>
      <c r="F383" s="362"/>
      <c r="G383" s="361"/>
      <c r="I383" s="349"/>
      <c r="K383" s="352"/>
      <c r="L383" s="352"/>
      <c r="N383" s="205"/>
      <c r="O383" s="352"/>
      <c r="P383" s="363"/>
      <c r="R383" s="352"/>
    </row>
    <row r="384">
      <c r="B384" s="352"/>
      <c r="C384" s="352"/>
      <c r="E384" s="361"/>
      <c r="F384" s="362"/>
      <c r="G384" s="361"/>
      <c r="I384" s="349"/>
      <c r="K384" s="352"/>
      <c r="L384" s="352"/>
      <c r="N384" s="205"/>
      <c r="O384" s="352"/>
      <c r="P384" s="363"/>
      <c r="R384" s="352"/>
    </row>
    <row r="385">
      <c r="B385" s="352"/>
      <c r="C385" s="352"/>
      <c r="E385" s="361"/>
      <c r="F385" s="362"/>
      <c r="G385" s="361"/>
      <c r="I385" s="349"/>
      <c r="K385" s="352"/>
      <c r="L385" s="352"/>
      <c r="N385" s="205"/>
      <c r="O385" s="352"/>
      <c r="P385" s="363"/>
      <c r="R385" s="352"/>
    </row>
    <row r="386">
      <c r="B386" s="352"/>
      <c r="C386" s="352"/>
      <c r="E386" s="361"/>
      <c r="F386" s="362"/>
      <c r="G386" s="361"/>
      <c r="I386" s="349"/>
      <c r="K386" s="352"/>
      <c r="L386" s="352"/>
      <c r="N386" s="205"/>
      <c r="O386" s="352"/>
      <c r="P386" s="363"/>
      <c r="R386" s="352"/>
    </row>
    <row r="387">
      <c r="B387" s="352"/>
      <c r="C387" s="352"/>
      <c r="E387" s="361"/>
      <c r="F387" s="362"/>
      <c r="G387" s="361"/>
      <c r="I387" s="349"/>
      <c r="K387" s="352"/>
      <c r="L387" s="352"/>
      <c r="N387" s="205"/>
      <c r="O387" s="352"/>
      <c r="P387" s="363"/>
      <c r="R387" s="352"/>
    </row>
    <row r="388">
      <c r="B388" s="352"/>
      <c r="C388" s="352"/>
      <c r="E388" s="361"/>
      <c r="F388" s="362"/>
      <c r="G388" s="361"/>
      <c r="I388" s="349"/>
      <c r="K388" s="352"/>
      <c r="L388" s="352"/>
      <c r="N388" s="205"/>
      <c r="O388" s="352"/>
      <c r="P388" s="363"/>
      <c r="R388" s="352"/>
    </row>
    <row r="389">
      <c r="B389" s="352"/>
      <c r="C389" s="352"/>
      <c r="E389" s="361"/>
      <c r="F389" s="362"/>
      <c r="G389" s="361"/>
      <c r="I389" s="349"/>
      <c r="K389" s="352"/>
      <c r="L389" s="352"/>
      <c r="N389" s="205"/>
      <c r="O389" s="352"/>
      <c r="P389" s="363"/>
      <c r="R389" s="352"/>
    </row>
    <row r="390">
      <c r="B390" s="352"/>
      <c r="C390" s="352"/>
      <c r="E390" s="361"/>
      <c r="F390" s="362"/>
      <c r="G390" s="361"/>
      <c r="I390" s="349"/>
      <c r="K390" s="352"/>
      <c r="L390" s="352"/>
      <c r="N390" s="205"/>
      <c r="O390" s="352"/>
      <c r="P390" s="363"/>
      <c r="R390" s="352"/>
    </row>
    <row r="391">
      <c r="B391" s="352"/>
      <c r="C391" s="352"/>
      <c r="E391" s="361"/>
      <c r="F391" s="362"/>
      <c r="G391" s="361"/>
      <c r="I391" s="349"/>
      <c r="K391" s="352"/>
      <c r="L391" s="352"/>
      <c r="N391" s="205"/>
      <c r="O391" s="352"/>
      <c r="P391" s="363"/>
      <c r="R391" s="352"/>
    </row>
    <row r="392">
      <c r="B392" s="352"/>
      <c r="C392" s="352"/>
      <c r="E392" s="361"/>
      <c r="F392" s="362"/>
      <c r="G392" s="361"/>
      <c r="I392" s="349"/>
      <c r="K392" s="352"/>
      <c r="L392" s="352"/>
      <c r="N392" s="205"/>
      <c r="O392" s="352"/>
      <c r="P392" s="363"/>
      <c r="R392" s="352"/>
    </row>
    <row r="393">
      <c r="B393" s="352"/>
      <c r="C393" s="352"/>
      <c r="E393" s="361"/>
      <c r="F393" s="362"/>
      <c r="G393" s="361"/>
      <c r="I393" s="349"/>
      <c r="K393" s="352"/>
      <c r="L393" s="352"/>
      <c r="N393" s="205"/>
      <c r="O393" s="352"/>
      <c r="P393" s="363"/>
      <c r="R393" s="352"/>
    </row>
    <row r="394">
      <c r="B394" s="352"/>
      <c r="C394" s="352"/>
      <c r="E394" s="361"/>
      <c r="F394" s="362"/>
      <c r="G394" s="361"/>
      <c r="I394" s="349"/>
      <c r="K394" s="352"/>
      <c r="L394" s="352"/>
      <c r="N394" s="205"/>
      <c r="O394" s="352"/>
      <c r="P394" s="363"/>
      <c r="R394" s="352"/>
    </row>
    <row r="395">
      <c r="B395" s="352"/>
      <c r="C395" s="352"/>
      <c r="E395" s="361"/>
      <c r="F395" s="362"/>
      <c r="G395" s="361"/>
      <c r="I395" s="349"/>
      <c r="K395" s="352"/>
      <c r="L395" s="352"/>
      <c r="N395" s="205"/>
      <c r="O395" s="352"/>
      <c r="P395" s="363"/>
      <c r="R395" s="352"/>
    </row>
    <row r="396">
      <c r="B396" s="352"/>
      <c r="C396" s="352"/>
      <c r="E396" s="361"/>
      <c r="F396" s="362"/>
      <c r="G396" s="361"/>
      <c r="I396" s="349"/>
      <c r="K396" s="352"/>
      <c r="L396" s="352"/>
      <c r="N396" s="205"/>
      <c r="O396" s="352"/>
      <c r="P396" s="363"/>
      <c r="R396" s="352"/>
    </row>
    <row r="397">
      <c r="B397" s="352"/>
      <c r="C397" s="352"/>
      <c r="E397" s="361"/>
      <c r="F397" s="362"/>
      <c r="G397" s="361"/>
      <c r="I397" s="349"/>
      <c r="K397" s="352"/>
      <c r="L397" s="352"/>
      <c r="N397" s="205"/>
      <c r="O397" s="352"/>
      <c r="P397" s="363"/>
      <c r="R397" s="352"/>
    </row>
    <row r="398">
      <c r="B398" s="352"/>
      <c r="C398" s="352"/>
      <c r="E398" s="361"/>
      <c r="F398" s="362"/>
      <c r="G398" s="361"/>
      <c r="I398" s="349"/>
      <c r="K398" s="352"/>
      <c r="L398" s="352"/>
      <c r="N398" s="205"/>
      <c r="O398" s="352"/>
      <c r="P398" s="363"/>
      <c r="R398" s="352"/>
    </row>
    <row r="399">
      <c r="B399" s="352"/>
      <c r="C399" s="352"/>
      <c r="E399" s="361"/>
      <c r="F399" s="362"/>
      <c r="G399" s="361"/>
      <c r="I399" s="349"/>
      <c r="K399" s="352"/>
      <c r="L399" s="352"/>
      <c r="N399" s="205"/>
      <c r="O399" s="352"/>
      <c r="P399" s="363"/>
      <c r="R399" s="352"/>
    </row>
    <row r="400">
      <c r="B400" s="352"/>
      <c r="C400" s="352"/>
      <c r="E400" s="361"/>
      <c r="F400" s="362"/>
      <c r="G400" s="361"/>
      <c r="I400" s="349"/>
      <c r="K400" s="352"/>
      <c r="L400" s="352"/>
      <c r="N400" s="205"/>
      <c r="O400" s="352"/>
      <c r="P400" s="363"/>
      <c r="R400" s="352"/>
    </row>
    <row r="401">
      <c r="B401" s="352"/>
      <c r="C401" s="352"/>
      <c r="E401" s="361"/>
      <c r="F401" s="362"/>
      <c r="G401" s="361"/>
      <c r="I401" s="349"/>
      <c r="K401" s="352"/>
      <c r="L401" s="352"/>
      <c r="N401" s="205"/>
      <c r="O401" s="352"/>
      <c r="P401" s="363"/>
      <c r="R401" s="352"/>
    </row>
    <row r="402">
      <c r="B402" s="352"/>
      <c r="C402" s="352"/>
      <c r="E402" s="361"/>
      <c r="F402" s="362"/>
      <c r="G402" s="361"/>
      <c r="I402" s="349"/>
      <c r="K402" s="352"/>
      <c r="L402" s="352"/>
      <c r="N402" s="205"/>
      <c r="O402" s="352"/>
      <c r="P402" s="363"/>
      <c r="R402" s="352"/>
    </row>
    <row r="403">
      <c r="B403" s="352"/>
      <c r="C403" s="352"/>
      <c r="E403" s="361"/>
      <c r="F403" s="362"/>
      <c r="G403" s="361"/>
      <c r="I403" s="349"/>
      <c r="K403" s="352"/>
      <c r="L403" s="352"/>
      <c r="N403" s="205"/>
      <c r="O403" s="352"/>
      <c r="P403" s="363"/>
      <c r="R403" s="352"/>
    </row>
    <row r="404">
      <c r="B404" s="352"/>
      <c r="C404" s="352"/>
      <c r="E404" s="361"/>
      <c r="F404" s="362"/>
      <c r="G404" s="361"/>
      <c r="I404" s="349"/>
      <c r="K404" s="352"/>
      <c r="L404" s="352"/>
      <c r="N404" s="205"/>
      <c r="O404" s="352"/>
      <c r="P404" s="363"/>
      <c r="R404" s="352"/>
    </row>
    <row r="405">
      <c r="B405" s="352"/>
      <c r="C405" s="352"/>
      <c r="E405" s="361"/>
      <c r="F405" s="362"/>
      <c r="G405" s="361"/>
      <c r="I405" s="349"/>
      <c r="K405" s="352"/>
      <c r="L405" s="352"/>
      <c r="N405" s="205"/>
      <c r="O405" s="352"/>
      <c r="P405" s="363"/>
      <c r="R405" s="352"/>
    </row>
    <row r="406">
      <c r="B406" s="352"/>
      <c r="C406" s="352"/>
      <c r="E406" s="361"/>
      <c r="F406" s="362"/>
      <c r="G406" s="361"/>
      <c r="I406" s="349"/>
      <c r="K406" s="352"/>
      <c r="L406" s="352"/>
      <c r="N406" s="205"/>
      <c r="O406" s="352"/>
      <c r="P406" s="363"/>
      <c r="R406" s="352"/>
    </row>
    <row r="407">
      <c r="B407" s="352"/>
      <c r="C407" s="352"/>
      <c r="E407" s="361"/>
      <c r="F407" s="362"/>
      <c r="G407" s="361"/>
      <c r="I407" s="349"/>
      <c r="K407" s="352"/>
      <c r="L407" s="352"/>
      <c r="N407" s="205"/>
      <c r="O407" s="352"/>
      <c r="P407" s="363"/>
      <c r="R407" s="352"/>
    </row>
    <row r="408">
      <c r="B408" s="352"/>
      <c r="C408" s="352"/>
      <c r="E408" s="361"/>
      <c r="F408" s="362"/>
      <c r="G408" s="361"/>
      <c r="I408" s="349"/>
      <c r="K408" s="352"/>
      <c r="L408" s="352"/>
      <c r="N408" s="205"/>
      <c r="O408" s="352"/>
      <c r="P408" s="363"/>
      <c r="R408" s="352"/>
    </row>
    <row r="409">
      <c r="B409" s="352"/>
      <c r="C409" s="352"/>
      <c r="E409" s="361"/>
      <c r="F409" s="362"/>
      <c r="G409" s="361"/>
      <c r="I409" s="349"/>
      <c r="K409" s="352"/>
      <c r="L409" s="352"/>
      <c r="N409" s="205"/>
      <c r="O409" s="352"/>
      <c r="P409" s="363"/>
      <c r="R409" s="352"/>
    </row>
    <row r="410">
      <c r="B410" s="352"/>
      <c r="C410" s="352"/>
      <c r="E410" s="361"/>
      <c r="F410" s="362"/>
      <c r="G410" s="361"/>
      <c r="I410" s="349"/>
      <c r="K410" s="352"/>
      <c r="L410" s="352"/>
      <c r="N410" s="205"/>
      <c r="O410" s="352"/>
      <c r="P410" s="363"/>
      <c r="R410" s="352"/>
    </row>
    <row r="411">
      <c r="B411" s="352"/>
      <c r="C411" s="352"/>
      <c r="E411" s="361"/>
      <c r="F411" s="362"/>
      <c r="G411" s="361"/>
      <c r="I411" s="349"/>
      <c r="K411" s="352"/>
      <c r="L411" s="352"/>
      <c r="N411" s="205"/>
      <c r="O411" s="352"/>
      <c r="P411" s="363"/>
      <c r="R411" s="352"/>
    </row>
    <row r="412">
      <c r="B412" s="352"/>
      <c r="C412" s="352"/>
      <c r="E412" s="361"/>
      <c r="F412" s="362"/>
      <c r="G412" s="361"/>
      <c r="I412" s="349"/>
      <c r="K412" s="352"/>
      <c r="L412" s="352"/>
      <c r="N412" s="205"/>
      <c r="O412" s="352"/>
      <c r="P412" s="363"/>
      <c r="R412" s="352"/>
    </row>
    <row r="413">
      <c r="B413" s="352"/>
      <c r="C413" s="352"/>
      <c r="E413" s="361"/>
      <c r="F413" s="362"/>
      <c r="G413" s="361"/>
      <c r="I413" s="349"/>
      <c r="K413" s="352"/>
      <c r="L413" s="352"/>
      <c r="N413" s="205"/>
      <c r="O413" s="352"/>
      <c r="P413" s="363"/>
      <c r="R413" s="352"/>
    </row>
    <row r="414">
      <c r="B414" s="352"/>
      <c r="C414" s="352"/>
      <c r="E414" s="361"/>
      <c r="F414" s="362"/>
      <c r="G414" s="361"/>
      <c r="I414" s="349"/>
      <c r="K414" s="352"/>
      <c r="L414" s="352"/>
      <c r="N414" s="205"/>
      <c r="O414" s="352"/>
      <c r="P414" s="363"/>
      <c r="R414" s="352"/>
    </row>
    <row r="415">
      <c r="B415" s="352"/>
      <c r="C415" s="352"/>
      <c r="E415" s="361"/>
      <c r="F415" s="362"/>
      <c r="G415" s="361"/>
      <c r="I415" s="349"/>
      <c r="K415" s="352"/>
      <c r="L415" s="352"/>
      <c r="N415" s="205"/>
      <c r="O415" s="352"/>
      <c r="P415" s="363"/>
      <c r="R415" s="352"/>
    </row>
    <row r="416">
      <c r="B416" s="352"/>
      <c r="C416" s="352"/>
      <c r="E416" s="361"/>
      <c r="F416" s="362"/>
      <c r="G416" s="361"/>
      <c r="I416" s="349"/>
      <c r="K416" s="352"/>
      <c r="L416" s="352"/>
      <c r="N416" s="205"/>
      <c r="O416" s="352"/>
      <c r="P416" s="363"/>
      <c r="R416" s="352"/>
    </row>
    <row r="417">
      <c r="B417" s="352"/>
      <c r="C417" s="352"/>
      <c r="E417" s="361"/>
      <c r="F417" s="362"/>
      <c r="G417" s="361"/>
      <c r="I417" s="349"/>
      <c r="K417" s="352"/>
      <c r="L417" s="352"/>
      <c r="N417" s="205"/>
      <c r="O417" s="352"/>
      <c r="P417" s="363"/>
      <c r="R417" s="352"/>
    </row>
    <row r="418">
      <c r="B418" s="352"/>
      <c r="C418" s="352"/>
      <c r="E418" s="361"/>
      <c r="F418" s="362"/>
      <c r="G418" s="361"/>
      <c r="I418" s="349"/>
      <c r="K418" s="352"/>
      <c r="L418" s="352"/>
      <c r="N418" s="205"/>
      <c r="O418" s="352"/>
      <c r="P418" s="363"/>
      <c r="R418" s="352"/>
    </row>
    <row r="419">
      <c r="B419" s="352"/>
      <c r="C419" s="352"/>
      <c r="E419" s="361"/>
      <c r="F419" s="362"/>
      <c r="G419" s="361"/>
      <c r="I419" s="349"/>
      <c r="K419" s="352"/>
      <c r="L419" s="352"/>
      <c r="N419" s="205"/>
      <c r="O419" s="352"/>
      <c r="P419" s="363"/>
      <c r="R419" s="352"/>
    </row>
    <row r="420">
      <c r="B420" s="352"/>
      <c r="C420" s="352"/>
      <c r="E420" s="361"/>
      <c r="F420" s="362"/>
      <c r="G420" s="361"/>
      <c r="I420" s="349"/>
      <c r="K420" s="352"/>
      <c r="L420" s="352"/>
      <c r="N420" s="205"/>
      <c r="O420" s="352"/>
      <c r="P420" s="363"/>
      <c r="R420" s="352"/>
    </row>
    <row r="421">
      <c r="B421" s="352"/>
      <c r="C421" s="352"/>
      <c r="E421" s="361"/>
      <c r="F421" s="362"/>
      <c r="G421" s="361"/>
      <c r="I421" s="349"/>
      <c r="K421" s="352"/>
      <c r="L421" s="352"/>
      <c r="N421" s="205"/>
      <c r="O421" s="352"/>
      <c r="P421" s="363"/>
      <c r="R421" s="352"/>
    </row>
    <row r="422">
      <c r="B422" s="352"/>
      <c r="C422" s="352"/>
      <c r="E422" s="361"/>
      <c r="F422" s="362"/>
      <c r="G422" s="361"/>
      <c r="I422" s="349"/>
      <c r="K422" s="352"/>
      <c r="L422" s="352"/>
      <c r="N422" s="205"/>
      <c r="O422" s="352"/>
      <c r="P422" s="363"/>
      <c r="R422" s="352"/>
    </row>
    <row r="423">
      <c r="B423" s="352"/>
      <c r="C423" s="352"/>
      <c r="E423" s="361"/>
      <c r="F423" s="362"/>
      <c r="G423" s="361"/>
      <c r="I423" s="349"/>
      <c r="K423" s="352"/>
      <c r="L423" s="352"/>
      <c r="N423" s="205"/>
      <c r="O423" s="352"/>
      <c r="P423" s="363"/>
      <c r="R423" s="352"/>
    </row>
    <row r="424">
      <c r="B424" s="352"/>
      <c r="C424" s="352"/>
      <c r="E424" s="361"/>
      <c r="F424" s="362"/>
      <c r="G424" s="361"/>
      <c r="I424" s="349"/>
      <c r="K424" s="352"/>
      <c r="L424" s="352"/>
      <c r="N424" s="205"/>
      <c r="O424" s="352"/>
      <c r="P424" s="363"/>
      <c r="R424" s="352"/>
    </row>
    <row r="425">
      <c r="B425" s="352"/>
      <c r="C425" s="352"/>
      <c r="E425" s="361"/>
      <c r="F425" s="362"/>
      <c r="G425" s="361"/>
      <c r="I425" s="349"/>
      <c r="K425" s="352"/>
      <c r="L425" s="352"/>
      <c r="N425" s="205"/>
      <c r="O425" s="352"/>
      <c r="P425" s="363"/>
      <c r="R425" s="352"/>
    </row>
    <row r="426">
      <c r="B426" s="352"/>
      <c r="C426" s="352"/>
      <c r="E426" s="361"/>
      <c r="F426" s="362"/>
      <c r="G426" s="361"/>
      <c r="I426" s="349"/>
      <c r="K426" s="352"/>
      <c r="L426" s="352"/>
      <c r="N426" s="205"/>
      <c r="O426" s="352"/>
      <c r="P426" s="363"/>
      <c r="R426" s="352"/>
    </row>
    <row r="427">
      <c r="B427" s="352"/>
      <c r="C427" s="352"/>
      <c r="E427" s="361"/>
      <c r="F427" s="362"/>
      <c r="G427" s="361"/>
      <c r="I427" s="349"/>
      <c r="K427" s="352"/>
      <c r="L427" s="352"/>
      <c r="N427" s="205"/>
      <c r="O427" s="352"/>
      <c r="P427" s="363"/>
      <c r="R427" s="352"/>
    </row>
    <row r="428">
      <c r="B428" s="352"/>
      <c r="C428" s="352"/>
      <c r="E428" s="361"/>
      <c r="F428" s="362"/>
      <c r="G428" s="361"/>
      <c r="I428" s="349"/>
      <c r="K428" s="352"/>
      <c r="L428" s="352"/>
      <c r="N428" s="205"/>
      <c r="O428" s="352"/>
      <c r="P428" s="363"/>
      <c r="R428" s="352"/>
    </row>
    <row r="429">
      <c r="B429" s="352"/>
      <c r="C429" s="352"/>
      <c r="E429" s="361"/>
      <c r="F429" s="362"/>
      <c r="G429" s="361"/>
      <c r="I429" s="349"/>
      <c r="K429" s="352"/>
      <c r="L429" s="352"/>
      <c r="N429" s="205"/>
      <c r="O429" s="352"/>
      <c r="P429" s="363"/>
      <c r="R429" s="352"/>
    </row>
    <row r="430">
      <c r="B430" s="352"/>
      <c r="C430" s="352"/>
      <c r="E430" s="361"/>
      <c r="F430" s="362"/>
      <c r="G430" s="361"/>
      <c r="I430" s="349"/>
      <c r="K430" s="352"/>
      <c r="L430" s="352"/>
      <c r="N430" s="205"/>
      <c r="O430" s="352"/>
      <c r="P430" s="363"/>
      <c r="R430" s="352"/>
    </row>
    <row r="431">
      <c r="B431" s="352"/>
      <c r="C431" s="352"/>
      <c r="E431" s="361"/>
      <c r="F431" s="362"/>
      <c r="G431" s="361"/>
      <c r="I431" s="349"/>
      <c r="K431" s="352"/>
      <c r="L431" s="352"/>
      <c r="N431" s="205"/>
      <c r="O431" s="352"/>
      <c r="P431" s="363"/>
      <c r="R431" s="352"/>
    </row>
    <row r="432">
      <c r="B432" s="352"/>
      <c r="C432" s="352"/>
      <c r="E432" s="361"/>
      <c r="F432" s="362"/>
      <c r="G432" s="361"/>
      <c r="I432" s="349"/>
      <c r="K432" s="352"/>
      <c r="L432" s="352"/>
      <c r="N432" s="205"/>
      <c r="O432" s="352"/>
      <c r="P432" s="363"/>
      <c r="R432" s="352"/>
    </row>
    <row r="433">
      <c r="B433" s="352"/>
      <c r="C433" s="352"/>
      <c r="E433" s="361"/>
      <c r="F433" s="362"/>
      <c r="G433" s="361"/>
      <c r="I433" s="349"/>
      <c r="K433" s="352"/>
      <c r="L433" s="352"/>
      <c r="N433" s="205"/>
      <c r="O433" s="352"/>
      <c r="P433" s="363"/>
      <c r="R433" s="352"/>
    </row>
    <row r="434">
      <c r="B434" s="352"/>
      <c r="C434" s="352"/>
      <c r="E434" s="361"/>
      <c r="F434" s="362"/>
      <c r="G434" s="361"/>
      <c r="I434" s="349"/>
      <c r="K434" s="352"/>
      <c r="L434" s="352"/>
      <c r="N434" s="205"/>
      <c r="O434" s="352"/>
      <c r="P434" s="363"/>
      <c r="R434" s="352"/>
    </row>
    <row r="435">
      <c r="B435" s="352"/>
      <c r="C435" s="352"/>
      <c r="E435" s="361"/>
      <c r="F435" s="362"/>
      <c r="G435" s="361"/>
      <c r="I435" s="349"/>
      <c r="K435" s="352"/>
      <c r="L435" s="352"/>
      <c r="N435" s="205"/>
      <c r="O435" s="352"/>
      <c r="P435" s="363"/>
      <c r="R435" s="352"/>
    </row>
    <row r="436">
      <c r="B436" s="352"/>
      <c r="C436" s="352"/>
      <c r="E436" s="361"/>
      <c r="F436" s="362"/>
      <c r="G436" s="361"/>
      <c r="I436" s="349"/>
      <c r="K436" s="352"/>
      <c r="L436" s="352"/>
      <c r="N436" s="205"/>
      <c r="O436" s="352"/>
      <c r="P436" s="363"/>
      <c r="R436" s="352"/>
    </row>
    <row r="437">
      <c r="B437" s="352"/>
      <c r="C437" s="352"/>
      <c r="E437" s="361"/>
      <c r="F437" s="362"/>
      <c r="G437" s="361"/>
      <c r="I437" s="349"/>
      <c r="K437" s="352"/>
      <c r="L437" s="352"/>
      <c r="N437" s="205"/>
      <c r="O437" s="352"/>
      <c r="P437" s="363"/>
      <c r="R437" s="352"/>
    </row>
    <row r="438">
      <c r="B438" s="352"/>
      <c r="C438" s="352"/>
      <c r="E438" s="361"/>
      <c r="F438" s="362"/>
      <c r="G438" s="361"/>
      <c r="I438" s="349"/>
      <c r="K438" s="352"/>
      <c r="L438" s="352"/>
      <c r="N438" s="205"/>
      <c r="O438" s="352"/>
      <c r="P438" s="363"/>
      <c r="R438" s="352"/>
    </row>
    <row r="439">
      <c r="B439" s="352"/>
      <c r="C439" s="352"/>
      <c r="E439" s="361"/>
      <c r="F439" s="362"/>
      <c r="G439" s="361"/>
      <c r="I439" s="349"/>
      <c r="K439" s="352"/>
      <c r="L439" s="352"/>
      <c r="N439" s="205"/>
      <c r="O439" s="352"/>
      <c r="P439" s="363"/>
      <c r="R439" s="352"/>
    </row>
    <row r="440">
      <c r="B440" s="352"/>
      <c r="C440" s="352"/>
      <c r="E440" s="361"/>
      <c r="F440" s="362"/>
      <c r="G440" s="361"/>
      <c r="I440" s="349"/>
      <c r="K440" s="352"/>
      <c r="L440" s="352"/>
      <c r="N440" s="205"/>
      <c r="O440" s="352"/>
      <c r="P440" s="363"/>
      <c r="R440" s="352"/>
    </row>
    <row r="441">
      <c r="B441" s="352"/>
      <c r="C441" s="352"/>
      <c r="E441" s="361"/>
      <c r="F441" s="362"/>
      <c r="G441" s="361"/>
      <c r="I441" s="349"/>
      <c r="K441" s="352"/>
      <c r="L441" s="352"/>
      <c r="N441" s="205"/>
      <c r="O441" s="352"/>
      <c r="P441" s="363"/>
      <c r="R441" s="352"/>
    </row>
    <row r="442">
      <c r="B442" s="352"/>
      <c r="C442" s="352"/>
      <c r="E442" s="361"/>
      <c r="F442" s="362"/>
      <c r="G442" s="361"/>
      <c r="I442" s="349"/>
      <c r="K442" s="352"/>
      <c r="L442" s="352"/>
      <c r="N442" s="205"/>
      <c r="O442" s="352"/>
      <c r="P442" s="363"/>
      <c r="R442" s="352"/>
    </row>
    <row r="443">
      <c r="B443" s="352"/>
      <c r="C443" s="352"/>
      <c r="E443" s="361"/>
      <c r="F443" s="362"/>
      <c r="G443" s="361"/>
      <c r="I443" s="349"/>
      <c r="K443" s="352"/>
      <c r="L443" s="352"/>
      <c r="N443" s="205"/>
      <c r="O443" s="352"/>
      <c r="P443" s="363"/>
      <c r="R443" s="352"/>
    </row>
    <row r="444">
      <c r="B444" s="352"/>
      <c r="C444" s="352"/>
      <c r="E444" s="361"/>
      <c r="F444" s="362"/>
      <c r="G444" s="361"/>
      <c r="I444" s="349"/>
      <c r="K444" s="352"/>
      <c r="L444" s="352"/>
      <c r="N444" s="205"/>
      <c r="O444" s="352"/>
      <c r="P444" s="363"/>
      <c r="R444" s="352"/>
    </row>
    <row r="445">
      <c r="B445" s="352"/>
      <c r="C445" s="352"/>
      <c r="E445" s="361"/>
      <c r="F445" s="362"/>
      <c r="G445" s="361"/>
      <c r="I445" s="349"/>
      <c r="K445" s="352"/>
      <c r="L445" s="352"/>
      <c r="N445" s="205"/>
      <c r="O445" s="352"/>
      <c r="P445" s="363"/>
      <c r="R445" s="352"/>
    </row>
    <row r="446">
      <c r="B446" s="352"/>
      <c r="C446" s="352"/>
      <c r="E446" s="361"/>
      <c r="F446" s="362"/>
      <c r="G446" s="361"/>
      <c r="I446" s="349"/>
      <c r="K446" s="352"/>
      <c r="L446" s="352"/>
      <c r="N446" s="205"/>
      <c r="O446" s="352"/>
      <c r="P446" s="363"/>
      <c r="R446" s="352"/>
    </row>
    <row r="447">
      <c r="B447" s="352"/>
      <c r="C447" s="352"/>
      <c r="E447" s="361"/>
      <c r="F447" s="362"/>
      <c r="G447" s="361"/>
      <c r="I447" s="349"/>
      <c r="K447" s="352"/>
      <c r="L447" s="352"/>
      <c r="N447" s="205"/>
      <c r="O447" s="352"/>
      <c r="P447" s="363"/>
      <c r="R447" s="352"/>
    </row>
    <row r="448">
      <c r="B448" s="352"/>
      <c r="C448" s="352"/>
      <c r="E448" s="361"/>
      <c r="F448" s="362"/>
      <c r="G448" s="361"/>
      <c r="I448" s="349"/>
      <c r="K448" s="352"/>
      <c r="L448" s="352"/>
      <c r="N448" s="205"/>
      <c r="O448" s="352"/>
      <c r="P448" s="363"/>
      <c r="R448" s="352"/>
    </row>
    <row r="449">
      <c r="B449" s="352"/>
      <c r="C449" s="352"/>
      <c r="E449" s="361"/>
      <c r="F449" s="362"/>
      <c r="G449" s="361"/>
      <c r="I449" s="349"/>
      <c r="K449" s="352"/>
      <c r="L449" s="352"/>
      <c r="N449" s="205"/>
      <c r="O449" s="352"/>
      <c r="P449" s="363"/>
      <c r="R449" s="352"/>
    </row>
    <row r="450">
      <c r="B450" s="352"/>
      <c r="C450" s="352"/>
      <c r="E450" s="361"/>
      <c r="F450" s="362"/>
      <c r="G450" s="361"/>
      <c r="I450" s="349"/>
      <c r="K450" s="352"/>
      <c r="L450" s="352"/>
      <c r="N450" s="205"/>
      <c r="O450" s="352"/>
      <c r="P450" s="363"/>
      <c r="R450" s="352"/>
    </row>
    <row r="451">
      <c r="B451" s="352"/>
      <c r="C451" s="352"/>
      <c r="E451" s="361"/>
      <c r="F451" s="362"/>
      <c r="G451" s="361"/>
      <c r="I451" s="349"/>
      <c r="K451" s="352"/>
      <c r="L451" s="352"/>
      <c r="N451" s="205"/>
      <c r="O451" s="352"/>
      <c r="P451" s="363"/>
      <c r="R451" s="352"/>
    </row>
    <row r="452">
      <c r="B452" s="352"/>
      <c r="C452" s="352"/>
      <c r="E452" s="361"/>
      <c r="F452" s="362"/>
      <c r="G452" s="361"/>
      <c r="I452" s="349"/>
      <c r="K452" s="352"/>
      <c r="L452" s="352"/>
      <c r="N452" s="205"/>
      <c r="O452" s="352"/>
      <c r="P452" s="363"/>
      <c r="R452" s="352"/>
    </row>
    <row r="453">
      <c r="B453" s="352"/>
      <c r="C453" s="352"/>
      <c r="E453" s="361"/>
      <c r="F453" s="362"/>
      <c r="G453" s="361"/>
      <c r="I453" s="349"/>
      <c r="K453" s="352"/>
      <c r="L453" s="352"/>
      <c r="N453" s="205"/>
      <c r="O453" s="352"/>
      <c r="P453" s="363"/>
      <c r="R453" s="352"/>
    </row>
    <row r="454">
      <c r="B454" s="352"/>
      <c r="C454" s="352"/>
      <c r="E454" s="361"/>
      <c r="F454" s="362"/>
      <c r="G454" s="361"/>
      <c r="I454" s="349"/>
      <c r="K454" s="352"/>
      <c r="L454" s="352"/>
      <c r="N454" s="205"/>
      <c r="O454" s="352"/>
      <c r="P454" s="363"/>
      <c r="R454" s="352"/>
    </row>
    <row r="455">
      <c r="B455" s="352"/>
      <c r="C455" s="352"/>
      <c r="E455" s="361"/>
      <c r="F455" s="362"/>
      <c r="G455" s="361"/>
      <c r="I455" s="349"/>
      <c r="K455" s="352"/>
      <c r="L455" s="352"/>
      <c r="N455" s="205"/>
      <c r="O455" s="352"/>
      <c r="P455" s="363"/>
      <c r="R455" s="352"/>
    </row>
    <row r="456">
      <c r="B456" s="352"/>
      <c r="C456" s="352"/>
      <c r="E456" s="361"/>
      <c r="F456" s="362"/>
      <c r="G456" s="361"/>
      <c r="I456" s="349"/>
      <c r="K456" s="352"/>
      <c r="L456" s="352"/>
      <c r="N456" s="205"/>
      <c r="O456" s="352"/>
      <c r="P456" s="363"/>
      <c r="R456" s="352"/>
    </row>
    <row r="457">
      <c r="B457" s="352"/>
      <c r="C457" s="352"/>
      <c r="E457" s="361"/>
      <c r="F457" s="362"/>
      <c r="G457" s="361"/>
      <c r="I457" s="349"/>
      <c r="K457" s="352"/>
      <c r="L457" s="352"/>
      <c r="N457" s="205"/>
      <c r="O457" s="352"/>
      <c r="P457" s="363"/>
      <c r="R457" s="352"/>
    </row>
    <row r="458">
      <c r="B458" s="352"/>
      <c r="C458" s="352"/>
      <c r="E458" s="361"/>
      <c r="F458" s="362"/>
      <c r="G458" s="361"/>
      <c r="I458" s="349"/>
      <c r="K458" s="352"/>
      <c r="L458" s="352"/>
      <c r="N458" s="205"/>
      <c r="O458" s="352"/>
      <c r="P458" s="363"/>
      <c r="R458" s="352"/>
    </row>
    <row r="459">
      <c r="B459" s="352"/>
      <c r="C459" s="352"/>
      <c r="E459" s="361"/>
      <c r="F459" s="362"/>
      <c r="G459" s="361"/>
      <c r="I459" s="349"/>
      <c r="K459" s="352"/>
      <c r="L459" s="352"/>
      <c r="N459" s="205"/>
      <c r="O459" s="352"/>
      <c r="P459" s="363"/>
      <c r="R459" s="352"/>
    </row>
    <row r="460">
      <c r="B460" s="352"/>
      <c r="C460" s="352"/>
      <c r="E460" s="361"/>
      <c r="F460" s="362"/>
      <c r="G460" s="361"/>
      <c r="I460" s="349"/>
      <c r="K460" s="352"/>
      <c r="L460" s="352"/>
      <c r="N460" s="205"/>
      <c r="O460" s="352"/>
      <c r="P460" s="363"/>
      <c r="R460" s="352"/>
    </row>
    <row r="461">
      <c r="B461" s="352"/>
      <c r="C461" s="352"/>
      <c r="E461" s="361"/>
      <c r="F461" s="362"/>
      <c r="G461" s="361"/>
      <c r="I461" s="349"/>
      <c r="K461" s="352"/>
      <c r="L461" s="352"/>
      <c r="N461" s="205"/>
      <c r="O461" s="352"/>
      <c r="P461" s="363"/>
      <c r="R461" s="352"/>
    </row>
    <row r="462">
      <c r="B462" s="352"/>
      <c r="C462" s="352"/>
      <c r="E462" s="361"/>
      <c r="F462" s="362"/>
      <c r="G462" s="361"/>
      <c r="I462" s="349"/>
      <c r="K462" s="352"/>
      <c r="L462" s="352"/>
      <c r="N462" s="205"/>
      <c r="O462" s="352"/>
      <c r="P462" s="363"/>
      <c r="R462" s="352"/>
    </row>
    <row r="463">
      <c r="B463" s="352"/>
      <c r="C463" s="352"/>
      <c r="E463" s="361"/>
      <c r="F463" s="362"/>
      <c r="G463" s="361"/>
      <c r="I463" s="349"/>
      <c r="K463" s="352"/>
      <c r="L463" s="352"/>
      <c r="N463" s="205"/>
      <c r="O463" s="352"/>
      <c r="P463" s="363"/>
      <c r="R463" s="352"/>
    </row>
    <row r="464">
      <c r="B464" s="352"/>
      <c r="C464" s="352"/>
      <c r="E464" s="361"/>
      <c r="F464" s="362"/>
      <c r="G464" s="361"/>
      <c r="I464" s="349"/>
      <c r="K464" s="352"/>
      <c r="L464" s="352"/>
      <c r="N464" s="205"/>
      <c r="O464" s="352"/>
      <c r="P464" s="363"/>
      <c r="R464" s="352"/>
    </row>
    <row r="465">
      <c r="B465" s="352"/>
      <c r="C465" s="352"/>
      <c r="E465" s="361"/>
      <c r="F465" s="362"/>
      <c r="G465" s="361"/>
      <c r="I465" s="349"/>
      <c r="K465" s="352"/>
      <c r="L465" s="352"/>
      <c r="N465" s="205"/>
      <c r="O465" s="352"/>
      <c r="P465" s="363"/>
      <c r="R465" s="352"/>
    </row>
    <row r="466">
      <c r="B466" s="352"/>
      <c r="C466" s="352"/>
      <c r="E466" s="361"/>
      <c r="F466" s="362"/>
      <c r="G466" s="361"/>
      <c r="I466" s="349"/>
      <c r="K466" s="352"/>
      <c r="L466" s="352"/>
      <c r="N466" s="205"/>
      <c r="O466" s="352"/>
      <c r="P466" s="363"/>
      <c r="R466" s="352"/>
    </row>
    <row r="467">
      <c r="B467" s="352"/>
      <c r="C467" s="352"/>
      <c r="E467" s="361"/>
      <c r="F467" s="362"/>
      <c r="G467" s="361"/>
      <c r="I467" s="349"/>
      <c r="K467" s="352"/>
      <c r="L467" s="352"/>
      <c r="N467" s="205"/>
      <c r="O467" s="352"/>
      <c r="P467" s="363"/>
      <c r="R467" s="352"/>
    </row>
    <row r="468">
      <c r="B468" s="352"/>
      <c r="C468" s="352"/>
      <c r="E468" s="361"/>
      <c r="F468" s="362"/>
      <c r="G468" s="361"/>
      <c r="I468" s="349"/>
      <c r="K468" s="352"/>
      <c r="L468" s="352"/>
      <c r="N468" s="205"/>
      <c r="O468" s="352"/>
      <c r="P468" s="363"/>
      <c r="R468" s="352"/>
    </row>
    <row r="469">
      <c r="B469" s="352"/>
      <c r="C469" s="352"/>
      <c r="E469" s="361"/>
      <c r="F469" s="362"/>
      <c r="G469" s="361"/>
      <c r="I469" s="349"/>
      <c r="K469" s="352"/>
      <c r="L469" s="352"/>
      <c r="N469" s="205"/>
      <c r="O469" s="352"/>
      <c r="P469" s="363"/>
      <c r="R469" s="352"/>
    </row>
    <row r="470">
      <c r="B470" s="352"/>
      <c r="C470" s="352"/>
      <c r="E470" s="361"/>
      <c r="F470" s="362"/>
      <c r="G470" s="361"/>
      <c r="I470" s="349"/>
      <c r="K470" s="352"/>
      <c r="L470" s="352"/>
      <c r="N470" s="205"/>
      <c r="O470" s="352"/>
      <c r="P470" s="363"/>
      <c r="R470" s="352"/>
    </row>
    <row r="471">
      <c r="B471" s="352"/>
      <c r="C471" s="352"/>
      <c r="E471" s="361"/>
      <c r="F471" s="362"/>
      <c r="G471" s="361"/>
      <c r="I471" s="349"/>
      <c r="K471" s="352"/>
      <c r="L471" s="352"/>
      <c r="N471" s="205"/>
      <c r="O471" s="352"/>
      <c r="P471" s="363"/>
      <c r="R471" s="352"/>
    </row>
    <row r="472">
      <c r="B472" s="352"/>
      <c r="C472" s="352"/>
      <c r="E472" s="361"/>
      <c r="F472" s="362"/>
      <c r="G472" s="361"/>
      <c r="I472" s="349"/>
      <c r="K472" s="352"/>
      <c r="L472" s="352"/>
      <c r="N472" s="205"/>
      <c r="O472" s="352"/>
      <c r="P472" s="363"/>
      <c r="R472" s="352"/>
    </row>
    <row r="473">
      <c r="B473" s="352"/>
      <c r="C473" s="352"/>
      <c r="E473" s="361"/>
      <c r="F473" s="362"/>
      <c r="G473" s="361"/>
      <c r="I473" s="349"/>
      <c r="K473" s="352"/>
      <c r="L473" s="352"/>
      <c r="N473" s="205"/>
      <c r="O473" s="352"/>
      <c r="P473" s="363"/>
      <c r="R473" s="352"/>
    </row>
    <row r="474">
      <c r="B474" s="352"/>
      <c r="C474" s="352"/>
      <c r="E474" s="361"/>
      <c r="F474" s="362"/>
      <c r="G474" s="361"/>
      <c r="I474" s="349"/>
      <c r="K474" s="352"/>
      <c r="L474" s="352"/>
      <c r="N474" s="205"/>
      <c r="O474" s="352"/>
      <c r="P474" s="363"/>
      <c r="R474" s="352"/>
    </row>
    <row r="475">
      <c r="B475" s="352"/>
      <c r="C475" s="352"/>
      <c r="E475" s="361"/>
      <c r="F475" s="362"/>
      <c r="G475" s="361"/>
      <c r="I475" s="349"/>
      <c r="K475" s="352"/>
      <c r="L475" s="352"/>
      <c r="N475" s="205"/>
      <c r="O475" s="352"/>
      <c r="P475" s="363"/>
      <c r="R475" s="352"/>
    </row>
    <row r="476">
      <c r="B476" s="352"/>
      <c r="C476" s="352"/>
      <c r="E476" s="361"/>
      <c r="F476" s="362"/>
      <c r="G476" s="361"/>
      <c r="I476" s="349"/>
      <c r="K476" s="352"/>
      <c r="L476" s="352"/>
      <c r="N476" s="205"/>
      <c r="O476" s="352"/>
      <c r="P476" s="363"/>
      <c r="R476" s="352"/>
    </row>
    <row r="477">
      <c r="B477" s="352"/>
      <c r="C477" s="352"/>
      <c r="E477" s="361"/>
      <c r="F477" s="362"/>
      <c r="G477" s="361"/>
      <c r="I477" s="349"/>
      <c r="K477" s="352"/>
      <c r="L477" s="352"/>
      <c r="N477" s="205"/>
      <c r="O477" s="352"/>
      <c r="P477" s="363"/>
      <c r="R477" s="352"/>
    </row>
    <row r="478">
      <c r="B478" s="352"/>
      <c r="C478" s="352"/>
      <c r="E478" s="361"/>
      <c r="F478" s="362"/>
      <c r="G478" s="361"/>
      <c r="I478" s="349"/>
      <c r="K478" s="352"/>
      <c r="L478" s="352"/>
      <c r="N478" s="205"/>
      <c r="O478" s="352"/>
      <c r="P478" s="363"/>
      <c r="R478" s="352"/>
    </row>
    <row r="479">
      <c r="B479" s="352"/>
      <c r="C479" s="352"/>
      <c r="E479" s="361"/>
      <c r="F479" s="362"/>
      <c r="G479" s="361"/>
      <c r="I479" s="349"/>
      <c r="K479" s="352"/>
      <c r="L479" s="352"/>
      <c r="N479" s="205"/>
      <c r="O479" s="352"/>
      <c r="P479" s="363"/>
      <c r="R479" s="352"/>
    </row>
    <row r="480">
      <c r="B480" s="352"/>
      <c r="C480" s="352"/>
      <c r="E480" s="361"/>
      <c r="F480" s="362"/>
      <c r="G480" s="361"/>
      <c r="I480" s="349"/>
      <c r="K480" s="352"/>
      <c r="L480" s="352"/>
      <c r="N480" s="205"/>
      <c r="O480" s="352"/>
      <c r="P480" s="363"/>
      <c r="R480" s="352"/>
    </row>
    <row r="481">
      <c r="B481" s="352"/>
      <c r="C481" s="352"/>
      <c r="E481" s="361"/>
      <c r="F481" s="362"/>
      <c r="G481" s="361"/>
      <c r="I481" s="349"/>
      <c r="K481" s="352"/>
      <c r="L481" s="352"/>
      <c r="N481" s="205"/>
      <c r="O481" s="352"/>
      <c r="P481" s="363"/>
      <c r="R481" s="352"/>
    </row>
    <row r="482">
      <c r="B482" s="352"/>
      <c r="C482" s="352"/>
      <c r="E482" s="361"/>
      <c r="F482" s="362"/>
      <c r="G482" s="361"/>
      <c r="I482" s="349"/>
      <c r="K482" s="352"/>
      <c r="L482" s="352"/>
      <c r="N482" s="205"/>
      <c r="O482" s="352"/>
      <c r="P482" s="363"/>
      <c r="R482" s="352"/>
    </row>
    <row r="483">
      <c r="B483" s="352"/>
      <c r="C483" s="352"/>
      <c r="E483" s="361"/>
      <c r="F483" s="362"/>
      <c r="G483" s="361"/>
      <c r="I483" s="349"/>
      <c r="K483" s="352"/>
      <c r="L483" s="352"/>
      <c r="N483" s="205"/>
      <c r="O483" s="352"/>
      <c r="P483" s="363"/>
      <c r="R483" s="352"/>
    </row>
    <row r="484">
      <c r="B484" s="352"/>
      <c r="C484" s="352"/>
      <c r="E484" s="361"/>
      <c r="F484" s="362"/>
      <c r="G484" s="361"/>
      <c r="I484" s="349"/>
      <c r="K484" s="352"/>
      <c r="L484" s="352"/>
      <c r="N484" s="205"/>
      <c r="O484" s="352"/>
      <c r="P484" s="363"/>
      <c r="R484" s="352"/>
    </row>
    <row r="485">
      <c r="B485" s="352"/>
      <c r="C485" s="352"/>
      <c r="E485" s="361"/>
      <c r="F485" s="362"/>
      <c r="G485" s="361"/>
      <c r="I485" s="349"/>
      <c r="K485" s="352"/>
      <c r="L485" s="352"/>
      <c r="N485" s="205"/>
      <c r="O485" s="352"/>
      <c r="P485" s="363"/>
      <c r="R485" s="352"/>
    </row>
    <row r="486">
      <c r="B486" s="352"/>
      <c r="C486" s="352"/>
      <c r="E486" s="361"/>
      <c r="F486" s="362"/>
      <c r="G486" s="361"/>
      <c r="I486" s="349"/>
      <c r="K486" s="352"/>
      <c r="L486" s="352"/>
      <c r="N486" s="205"/>
      <c r="O486" s="352"/>
      <c r="P486" s="363"/>
      <c r="R486" s="352"/>
    </row>
    <row r="487">
      <c r="B487" s="352"/>
      <c r="C487" s="352"/>
      <c r="E487" s="361"/>
      <c r="F487" s="362"/>
      <c r="G487" s="361"/>
      <c r="I487" s="349"/>
      <c r="K487" s="352"/>
      <c r="L487" s="352"/>
      <c r="N487" s="205"/>
      <c r="O487" s="352"/>
      <c r="P487" s="363"/>
      <c r="R487" s="352"/>
    </row>
    <row r="488">
      <c r="B488" s="352"/>
      <c r="C488" s="352"/>
      <c r="E488" s="361"/>
      <c r="F488" s="362"/>
      <c r="G488" s="361"/>
      <c r="I488" s="349"/>
      <c r="K488" s="352"/>
      <c r="L488" s="352"/>
      <c r="N488" s="205"/>
      <c r="O488" s="352"/>
      <c r="P488" s="363"/>
      <c r="R488" s="352"/>
    </row>
    <row r="489">
      <c r="B489" s="352"/>
      <c r="C489" s="352"/>
      <c r="E489" s="361"/>
      <c r="F489" s="362"/>
      <c r="G489" s="361"/>
      <c r="I489" s="349"/>
      <c r="K489" s="352"/>
      <c r="L489" s="352"/>
      <c r="N489" s="205"/>
      <c r="O489" s="352"/>
      <c r="P489" s="363"/>
      <c r="R489" s="352"/>
    </row>
    <row r="490">
      <c r="B490" s="352"/>
      <c r="C490" s="352"/>
      <c r="E490" s="361"/>
      <c r="F490" s="362"/>
      <c r="G490" s="361"/>
      <c r="I490" s="349"/>
      <c r="K490" s="352"/>
      <c r="L490" s="352"/>
      <c r="N490" s="205"/>
      <c r="O490" s="352"/>
      <c r="P490" s="363"/>
      <c r="R490" s="352"/>
    </row>
    <row r="491">
      <c r="B491" s="352"/>
      <c r="C491" s="352"/>
      <c r="E491" s="361"/>
      <c r="F491" s="362"/>
      <c r="G491" s="361"/>
      <c r="I491" s="349"/>
      <c r="K491" s="352"/>
      <c r="L491" s="352"/>
      <c r="N491" s="205"/>
      <c r="O491" s="352"/>
      <c r="P491" s="363"/>
      <c r="R491" s="352"/>
    </row>
    <row r="492">
      <c r="B492" s="352"/>
      <c r="C492" s="352"/>
      <c r="E492" s="361"/>
      <c r="F492" s="362"/>
      <c r="G492" s="361"/>
      <c r="I492" s="349"/>
      <c r="K492" s="352"/>
      <c r="L492" s="352"/>
      <c r="N492" s="205"/>
      <c r="O492" s="352"/>
      <c r="P492" s="363"/>
      <c r="R492" s="352"/>
    </row>
    <row r="493">
      <c r="B493" s="352"/>
      <c r="C493" s="352"/>
      <c r="E493" s="361"/>
      <c r="F493" s="362"/>
      <c r="G493" s="361"/>
      <c r="I493" s="349"/>
      <c r="K493" s="352"/>
      <c r="L493" s="352"/>
      <c r="N493" s="205"/>
      <c r="O493" s="352"/>
      <c r="P493" s="363"/>
      <c r="R493" s="352"/>
    </row>
    <row r="494">
      <c r="B494" s="352"/>
      <c r="C494" s="352"/>
      <c r="E494" s="361"/>
      <c r="F494" s="362"/>
      <c r="G494" s="361"/>
      <c r="I494" s="349"/>
      <c r="K494" s="352"/>
      <c r="L494" s="352"/>
      <c r="N494" s="205"/>
      <c r="O494" s="352"/>
      <c r="P494" s="363"/>
      <c r="R494" s="352"/>
    </row>
    <row r="495">
      <c r="B495" s="352"/>
      <c r="C495" s="352"/>
      <c r="E495" s="361"/>
      <c r="F495" s="362"/>
      <c r="G495" s="361"/>
      <c r="I495" s="349"/>
      <c r="K495" s="352"/>
      <c r="L495" s="352"/>
      <c r="N495" s="205"/>
      <c r="O495" s="352"/>
      <c r="P495" s="363"/>
      <c r="R495" s="352"/>
    </row>
    <row r="496">
      <c r="B496" s="352"/>
      <c r="C496" s="352"/>
      <c r="E496" s="361"/>
      <c r="F496" s="362"/>
      <c r="G496" s="361"/>
      <c r="I496" s="349"/>
      <c r="K496" s="352"/>
      <c r="L496" s="352"/>
      <c r="N496" s="205"/>
      <c r="O496" s="352"/>
      <c r="P496" s="363"/>
      <c r="R496" s="352"/>
    </row>
    <row r="497">
      <c r="B497" s="352"/>
      <c r="C497" s="352"/>
      <c r="E497" s="361"/>
      <c r="F497" s="362"/>
      <c r="G497" s="361"/>
      <c r="I497" s="349"/>
      <c r="K497" s="352"/>
      <c r="L497" s="352"/>
      <c r="N497" s="205"/>
      <c r="O497" s="352"/>
      <c r="P497" s="363"/>
      <c r="R497" s="352"/>
    </row>
    <row r="498">
      <c r="B498" s="352"/>
      <c r="C498" s="352"/>
      <c r="E498" s="361"/>
      <c r="F498" s="362"/>
      <c r="G498" s="361"/>
      <c r="I498" s="349"/>
      <c r="K498" s="352"/>
      <c r="L498" s="352"/>
      <c r="N498" s="205"/>
      <c r="O498" s="352"/>
      <c r="P498" s="363"/>
      <c r="R498" s="352"/>
    </row>
    <row r="499">
      <c r="B499" s="352"/>
      <c r="C499" s="352"/>
      <c r="E499" s="361"/>
      <c r="F499" s="362"/>
      <c r="G499" s="361"/>
      <c r="I499" s="349"/>
      <c r="K499" s="352"/>
      <c r="L499" s="352"/>
      <c r="N499" s="205"/>
      <c r="O499" s="352"/>
      <c r="P499" s="363"/>
      <c r="R499" s="352"/>
    </row>
    <row r="500">
      <c r="B500" s="352"/>
      <c r="C500" s="352"/>
      <c r="E500" s="361"/>
      <c r="F500" s="362"/>
      <c r="G500" s="361"/>
      <c r="I500" s="349"/>
      <c r="K500" s="352"/>
      <c r="L500" s="352"/>
      <c r="N500" s="205"/>
      <c r="O500" s="352"/>
      <c r="P500" s="363"/>
      <c r="R500" s="352"/>
    </row>
    <row r="501">
      <c r="B501" s="352"/>
      <c r="C501" s="352"/>
      <c r="E501" s="361"/>
      <c r="F501" s="362"/>
      <c r="G501" s="361"/>
      <c r="I501" s="349"/>
      <c r="K501" s="352"/>
      <c r="L501" s="352"/>
      <c r="N501" s="205"/>
      <c r="O501" s="352"/>
      <c r="P501" s="363"/>
      <c r="R501" s="352"/>
    </row>
    <row r="502">
      <c r="B502" s="352"/>
      <c r="C502" s="352"/>
      <c r="E502" s="361"/>
      <c r="F502" s="362"/>
      <c r="G502" s="361"/>
      <c r="I502" s="349"/>
      <c r="K502" s="352"/>
      <c r="L502" s="352"/>
      <c r="N502" s="205"/>
      <c r="O502" s="352"/>
      <c r="P502" s="363"/>
      <c r="R502" s="352"/>
    </row>
    <row r="503">
      <c r="B503" s="352"/>
      <c r="C503" s="352"/>
      <c r="E503" s="361"/>
      <c r="F503" s="362"/>
      <c r="G503" s="361"/>
      <c r="I503" s="349"/>
      <c r="K503" s="352"/>
      <c r="L503" s="352"/>
      <c r="N503" s="205"/>
      <c r="O503" s="352"/>
      <c r="P503" s="363"/>
      <c r="R503" s="352"/>
    </row>
    <row r="504">
      <c r="B504" s="352"/>
      <c r="C504" s="352"/>
      <c r="E504" s="361"/>
      <c r="F504" s="362"/>
      <c r="G504" s="361"/>
      <c r="I504" s="349"/>
      <c r="K504" s="352"/>
      <c r="L504" s="352"/>
      <c r="N504" s="205"/>
      <c r="O504" s="352"/>
      <c r="P504" s="363"/>
      <c r="R504" s="352"/>
    </row>
    <row r="505">
      <c r="B505" s="352"/>
      <c r="C505" s="352"/>
      <c r="E505" s="361"/>
      <c r="F505" s="362"/>
      <c r="G505" s="361"/>
      <c r="I505" s="349"/>
      <c r="K505" s="352"/>
      <c r="L505" s="352"/>
      <c r="N505" s="205"/>
      <c r="O505" s="352"/>
      <c r="P505" s="363"/>
      <c r="R505" s="352"/>
    </row>
    <row r="506">
      <c r="B506" s="352"/>
      <c r="C506" s="352"/>
      <c r="E506" s="361"/>
      <c r="F506" s="362"/>
      <c r="G506" s="361"/>
      <c r="I506" s="349"/>
      <c r="K506" s="352"/>
      <c r="L506" s="352"/>
      <c r="N506" s="205"/>
      <c r="O506" s="352"/>
      <c r="P506" s="363"/>
      <c r="R506" s="352"/>
    </row>
    <row r="507">
      <c r="B507" s="352"/>
      <c r="C507" s="352"/>
      <c r="E507" s="361"/>
      <c r="F507" s="362"/>
      <c r="G507" s="361"/>
      <c r="I507" s="349"/>
      <c r="K507" s="352"/>
      <c r="L507" s="352"/>
      <c r="N507" s="205"/>
      <c r="O507" s="352"/>
      <c r="P507" s="363"/>
      <c r="R507" s="352"/>
    </row>
    <row r="508">
      <c r="B508" s="352"/>
      <c r="C508" s="352"/>
      <c r="E508" s="361"/>
      <c r="F508" s="362"/>
      <c r="G508" s="361"/>
      <c r="I508" s="349"/>
      <c r="K508" s="352"/>
      <c r="L508" s="352"/>
      <c r="N508" s="205"/>
      <c r="O508" s="352"/>
      <c r="P508" s="363"/>
      <c r="R508" s="352"/>
    </row>
    <row r="509">
      <c r="B509" s="352"/>
      <c r="C509" s="352"/>
      <c r="E509" s="361"/>
      <c r="F509" s="362"/>
      <c r="G509" s="361"/>
      <c r="I509" s="349"/>
      <c r="K509" s="352"/>
      <c r="L509" s="352"/>
      <c r="N509" s="205"/>
      <c r="O509" s="352"/>
      <c r="P509" s="363"/>
      <c r="R509" s="352"/>
    </row>
    <row r="510">
      <c r="B510" s="352"/>
      <c r="C510" s="352"/>
      <c r="E510" s="361"/>
      <c r="F510" s="362"/>
      <c r="G510" s="361"/>
      <c r="I510" s="349"/>
      <c r="K510" s="352"/>
      <c r="L510" s="352"/>
      <c r="N510" s="205"/>
      <c r="O510" s="352"/>
      <c r="P510" s="363"/>
      <c r="R510" s="352"/>
    </row>
    <row r="511">
      <c r="B511" s="352"/>
      <c r="C511" s="352"/>
      <c r="E511" s="361"/>
      <c r="F511" s="362"/>
      <c r="G511" s="361"/>
      <c r="I511" s="349"/>
      <c r="K511" s="352"/>
      <c r="L511" s="352"/>
      <c r="N511" s="205"/>
      <c r="O511" s="352"/>
      <c r="P511" s="363"/>
      <c r="R511" s="352"/>
    </row>
    <row r="512">
      <c r="B512" s="352"/>
      <c r="C512" s="352"/>
      <c r="E512" s="361"/>
      <c r="F512" s="362"/>
      <c r="G512" s="361"/>
      <c r="I512" s="349"/>
      <c r="K512" s="352"/>
      <c r="L512" s="352"/>
      <c r="N512" s="205"/>
      <c r="O512" s="352"/>
      <c r="P512" s="363"/>
      <c r="R512" s="352"/>
    </row>
    <row r="513">
      <c r="B513" s="352"/>
      <c r="C513" s="352"/>
      <c r="E513" s="361"/>
      <c r="F513" s="362"/>
      <c r="G513" s="361"/>
      <c r="I513" s="349"/>
      <c r="K513" s="352"/>
      <c r="L513" s="352"/>
      <c r="N513" s="205"/>
      <c r="O513" s="352"/>
      <c r="P513" s="363"/>
      <c r="R513" s="352"/>
    </row>
    <row r="514">
      <c r="B514" s="352"/>
      <c r="C514" s="352"/>
      <c r="E514" s="361"/>
      <c r="F514" s="362"/>
      <c r="G514" s="361"/>
      <c r="I514" s="349"/>
      <c r="K514" s="352"/>
      <c r="L514" s="352"/>
      <c r="N514" s="205"/>
      <c r="O514" s="352"/>
      <c r="P514" s="363"/>
      <c r="R514" s="352"/>
    </row>
    <row r="515">
      <c r="B515" s="352"/>
      <c r="C515" s="352"/>
      <c r="E515" s="361"/>
      <c r="F515" s="362"/>
      <c r="G515" s="361"/>
      <c r="I515" s="349"/>
      <c r="K515" s="352"/>
      <c r="L515" s="352"/>
      <c r="N515" s="205"/>
      <c r="O515" s="352"/>
      <c r="P515" s="363"/>
      <c r="R515" s="352"/>
    </row>
    <row r="516">
      <c r="B516" s="352"/>
      <c r="C516" s="352"/>
      <c r="E516" s="361"/>
      <c r="F516" s="362"/>
      <c r="G516" s="361"/>
      <c r="I516" s="349"/>
      <c r="K516" s="352"/>
      <c r="L516" s="352"/>
      <c r="N516" s="205"/>
      <c r="O516" s="352"/>
      <c r="P516" s="363"/>
      <c r="R516" s="352"/>
    </row>
    <row r="517">
      <c r="B517" s="352"/>
      <c r="C517" s="352"/>
      <c r="E517" s="361"/>
      <c r="F517" s="362"/>
      <c r="G517" s="361"/>
      <c r="I517" s="349"/>
      <c r="K517" s="352"/>
      <c r="L517" s="352"/>
      <c r="N517" s="205"/>
      <c r="O517" s="352"/>
      <c r="P517" s="363"/>
      <c r="R517" s="352"/>
    </row>
    <row r="518">
      <c r="B518" s="352"/>
      <c r="C518" s="352"/>
      <c r="E518" s="361"/>
      <c r="F518" s="362"/>
      <c r="G518" s="361"/>
      <c r="I518" s="349"/>
      <c r="K518" s="352"/>
      <c r="L518" s="352"/>
      <c r="N518" s="205"/>
      <c r="O518" s="352"/>
      <c r="P518" s="363"/>
      <c r="R518" s="352"/>
    </row>
    <row r="519">
      <c r="B519" s="352"/>
      <c r="C519" s="352"/>
      <c r="E519" s="361"/>
      <c r="F519" s="362"/>
      <c r="G519" s="361"/>
      <c r="I519" s="349"/>
      <c r="K519" s="352"/>
      <c r="L519" s="352"/>
      <c r="N519" s="205"/>
      <c r="O519" s="352"/>
      <c r="P519" s="363"/>
      <c r="R519" s="352"/>
    </row>
    <row r="520">
      <c r="B520" s="352"/>
      <c r="C520" s="352"/>
      <c r="E520" s="361"/>
      <c r="F520" s="362"/>
      <c r="G520" s="361"/>
      <c r="I520" s="349"/>
      <c r="K520" s="352"/>
      <c r="L520" s="352"/>
      <c r="N520" s="205"/>
      <c r="O520" s="352"/>
      <c r="P520" s="363"/>
      <c r="R520" s="352"/>
    </row>
    <row r="521">
      <c r="B521" s="352"/>
      <c r="C521" s="352"/>
      <c r="E521" s="361"/>
      <c r="F521" s="362"/>
      <c r="G521" s="361"/>
      <c r="I521" s="349"/>
      <c r="K521" s="352"/>
      <c r="L521" s="352"/>
      <c r="N521" s="205"/>
      <c r="O521" s="352"/>
      <c r="P521" s="363"/>
      <c r="R521" s="352"/>
    </row>
    <row r="522">
      <c r="B522" s="352"/>
      <c r="C522" s="352"/>
      <c r="E522" s="361"/>
      <c r="F522" s="362"/>
      <c r="G522" s="361"/>
      <c r="I522" s="349"/>
      <c r="K522" s="352"/>
      <c r="L522" s="352"/>
      <c r="N522" s="205"/>
      <c r="O522" s="352"/>
      <c r="P522" s="363"/>
      <c r="R522" s="352"/>
    </row>
    <row r="523">
      <c r="B523" s="352"/>
      <c r="C523" s="352"/>
      <c r="E523" s="361"/>
      <c r="F523" s="362"/>
      <c r="G523" s="361"/>
      <c r="I523" s="349"/>
      <c r="K523" s="352"/>
      <c r="L523" s="352"/>
      <c r="N523" s="205"/>
      <c r="O523" s="352"/>
      <c r="P523" s="363"/>
      <c r="R523" s="352"/>
    </row>
    <row r="524">
      <c r="B524" s="352"/>
      <c r="C524" s="352"/>
      <c r="E524" s="361"/>
      <c r="F524" s="362"/>
      <c r="G524" s="361"/>
      <c r="I524" s="349"/>
      <c r="K524" s="352"/>
      <c r="L524" s="352"/>
      <c r="N524" s="205"/>
      <c r="O524" s="352"/>
      <c r="P524" s="363"/>
      <c r="R524" s="352"/>
    </row>
    <row r="525">
      <c r="B525" s="352"/>
      <c r="C525" s="352"/>
      <c r="E525" s="361"/>
      <c r="F525" s="362"/>
      <c r="G525" s="361"/>
      <c r="I525" s="349"/>
      <c r="K525" s="352"/>
      <c r="L525" s="352"/>
      <c r="N525" s="205"/>
      <c r="O525" s="352"/>
      <c r="P525" s="363"/>
      <c r="R525" s="352"/>
    </row>
    <row r="526">
      <c r="B526" s="352"/>
      <c r="C526" s="352"/>
      <c r="E526" s="361"/>
      <c r="F526" s="362"/>
      <c r="G526" s="361"/>
      <c r="I526" s="349"/>
      <c r="K526" s="352"/>
      <c r="L526" s="352"/>
      <c r="N526" s="205"/>
      <c r="O526" s="352"/>
      <c r="P526" s="363"/>
      <c r="R526" s="352"/>
    </row>
    <row r="527">
      <c r="B527" s="352"/>
      <c r="C527" s="352"/>
      <c r="E527" s="361"/>
      <c r="F527" s="362"/>
      <c r="G527" s="361"/>
      <c r="I527" s="349"/>
      <c r="K527" s="352"/>
      <c r="L527" s="352"/>
      <c r="N527" s="205"/>
      <c r="O527" s="352"/>
      <c r="P527" s="363"/>
      <c r="R527" s="352"/>
    </row>
    <row r="528">
      <c r="B528" s="352"/>
      <c r="C528" s="352"/>
      <c r="E528" s="361"/>
      <c r="F528" s="362"/>
      <c r="G528" s="361"/>
      <c r="I528" s="349"/>
      <c r="K528" s="352"/>
      <c r="L528" s="352"/>
      <c r="N528" s="205"/>
      <c r="O528" s="352"/>
      <c r="P528" s="363"/>
      <c r="R528" s="352"/>
    </row>
    <row r="529">
      <c r="B529" s="352"/>
      <c r="C529" s="352"/>
      <c r="E529" s="361"/>
      <c r="F529" s="362"/>
      <c r="G529" s="361"/>
      <c r="I529" s="349"/>
      <c r="K529" s="352"/>
      <c r="L529" s="352"/>
      <c r="N529" s="205"/>
      <c r="O529" s="352"/>
      <c r="P529" s="363"/>
      <c r="R529" s="352"/>
    </row>
    <row r="530">
      <c r="B530" s="352"/>
      <c r="C530" s="352"/>
      <c r="E530" s="361"/>
      <c r="F530" s="362"/>
      <c r="G530" s="361"/>
      <c r="I530" s="349"/>
      <c r="K530" s="352"/>
      <c r="L530" s="352"/>
      <c r="N530" s="205"/>
      <c r="O530" s="352"/>
      <c r="P530" s="363"/>
      <c r="R530" s="352"/>
    </row>
    <row r="531">
      <c r="B531" s="352"/>
      <c r="C531" s="352"/>
      <c r="E531" s="361"/>
      <c r="F531" s="362"/>
      <c r="G531" s="361"/>
      <c r="I531" s="349"/>
      <c r="K531" s="352"/>
      <c r="L531" s="352"/>
      <c r="N531" s="205"/>
      <c r="O531" s="352"/>
      <c r="P531" s="363"/>
      <c r="R531" s="352"/>
    </row>
    <row r="532">
      <c r="B532" s="352"/>
      <c r="C532" s="352"/>
      <c r="E532" s="361"/>
      <c r="F532" s="362"/>
      <c r="G532" s="361"/>
      <c r="I532" s="349"/>
      <c r="K532" s="352"/>
      <c r="L532" s="352"/>
      <c r="N532" s="205"/>
      <c r="O532" s="352"/>
      <c r="P532" s="363"/>
      <c r="R532" s="352"/>
    </row>
    <row r="533">
      <c r="B533" s="352"/>
      <c r="C533" s="352"/>
      <c r="E533" s="361"/>
      <c r="F533" s="362"/>
      <c r="G533" s="361"/>
      <c r="I533" s="349"/>
      <c r="K533" s="352"/>
      <c r="L533" s="352"/>
      <c r="N533" s="205"/>
      <c r="O533" s="352"/>
      <c r="P533" s="363"/>
      <c r="R533" s="352"/>
    </row>
    <row r="534">
      <c r="B534" s="352"/>
      <c r="C534" s="352"/>
      <c r="E534" s="361"/>
      <c r="F534" s="362"/>
      <c r="G534" s="361"/>
      <c r="I534" s="349"/>
      <c r="K534" s="352"/>
      <c r="L534" s="352"/>
      <c r="N534" s="205"/>
      <c r="O534" s="352"/>
      <c r="P534" s="363"/>
      <c r="R534" s="352"/>
    </row>
    <row r="535">
      <c r="B535" s="352"/>
      <c r="C535" s="352"/>
      <c r="E535" s="361"/>
      <c r="F535" s="362"/>
      <c r="G535" s="361"/>
      <c r="I535" s="349"/>
      <c r="K535" s="352"/>
      <c r="L535" s="352"/>
      <c r="N535" s="205"/>
      <c r="O535" s="352"/>
      <c r="P535" s="363"/>
      <c r="R535" s="352"/>
    </row>
    <row r="536">
      <c r="B536" s="352"/>
      <c r="C536" s="352"/>
      <c r="E536" s="361"/>
      <c r="F536" s="362"/>
      <c r="G536" s="361"/>
      <c r="I536" s="349"/>
      <c r="K536" s="352"/>
      <c r="L536" s="352"/>
      <c r="N536" s="205"/>
      <c r="O536" s="352"/>
      <c r="P536" s="363"/>
      <c r="R536" s="352"/>
    </row>
    <row r="537">
      <c r="B537" s="352"/>
      <c r="C537" s="352"/>
      <c r="E537" s="361"/>
      <c r="F537" s="362"/>
      <c r="G537" s="361"/>
      <c r="I537" s="349"/>
      <c r="K537" s="352"/>
      <c r="L537" s="352"/>
      <c r="N537" s="205"/>
      <c r="O537" s="352"/>
      <c r="P537" s="363"/>
      <c r="R537" s="352"/>
    </row>
    <row r="538">
      <c r="B538" s="352"/>
      <c r="C538" s="352"/>
      <c r="E538" s="361"/>
      <c r="F538" s="362"/>
      <c r="G538" s="361"/>
      <c r="I538" s="349"/>
      <c r="K538" s="352"/>
      <c r="L538" s="352"/>
      <c r="N538" s="205"/>
      <c r="O538" s="352"/>
      <c r="P538" s="363"/>
      <c r="R538" s="352"/>
    </row>
    <row r="539">
      <c r="B539" s="352"/>
      <c r="C539" s="352"/>
      <c r="E539" s="361"/>
      <c r="F539" s="362"/>
      <c r="G539" s="361"/>
      <c r="I539" s="349"/>
      <c r="K539" s="352"/>
      <c r="L539" s="352"/>
      <c r="N539" s="205"/>
      <c r="O539" s="352"/>
      <c r="P539" s="363"/>
      <c r="R539" s="352"/>
    </row>
    <row r="540">
      <c r="B540" s="352"/>
      <c r="C540" s="352"/>
      <c r="E540" s="361"/>
      <c r="F540" s="362"/>
      <c r="G540" s="361"/>
      <c r="I540" s="349"/>
      <c r="K540" s="352"/>
      <c r="L540" s="352"/>
      <c r="N540" s="205"/>
      <c r="O540" s="352"/>
      <c r="P540" s="363"/>
      <c r="R540" s="352"/>
    </row>
    <row r="541">
      <c r="B541" s="352"/>
      <c r="C541" s="352"/>
      <c r="E541" s="361"/>
      <c r="F541" s="362"/>
      <c r="G541" s="361"/>
      <c r="I541" s="349"/>
      <c r="K541" s="352"/>
      <c r="L541" s="352"/>
      <c r="N541" s="205"/>
      <c r="O541" s="352"/>
      <c r="P541" s="363"/>
      <c r="R541" s="352"/>
    </row>
    <row r="542">
      <c r="B542" s="352"/>
      <c r="C542" s="352"/>
      <c r="E542" s="361"/>
      <c r="F542" s="362"/>
      <c r="G542" s="361"/>
      <c r="I542" s="349"/>
      <c r="K542" s="352"/>
      <c r="L542" s="352"/>
      <c r="N542" s="205"/>
      <c r="O542" s="352"/>
      <c r="P542" s="363"/>
      <c r="R542" s="352"/>
    </row>
    <row r="543">
      <c r="B543" s="352"/>
      <c r="C543" s="352"/>
      <c r="E543" s="361"/>
      <c r="F543" s="362"/>
      <c r="G543" s="361"/>
      <c r="I543" s="349"/>
      <c r="K543" s="352"/>
      <c r="L543" s="352"/>
      <c r="N543" s="205"/>
      <c r="O543" s="352"/>
      <c r="P543" s="363"/>
      <c r="R543" s="352"/>
    </row>
    <row r="544">
      <c r="B544" s="352"/>
      <c r="C544" s="352"/>
      <c r="E544" s="361"/>
      <c r="F544" s="362"/>
      <c r="G544" s="361"/>
      <c r="I544" s="349"/>
      <c r="K544" s="352"/>
      <c r="L544" s="352"/>
      <c r="N544" s="205"/>
      <c r="O544" s="352"/>
      <c r="P544" s="363"/>
      <c r="R544" s="352"/>
    </row>
    <row r="545">
      <c r="B545" s="352"/>
      <c r="C545" s="352"/>
      <c r="E545" s="361"/>
      <c r="F545" s="362"/>
      <c r="G545" s="361"/>
      <c r="I545" s="349"/>
      <c r="K545" s="352"/>
      <c r="L545" s="352"/>
      <c r="N545" s="205"/>
      <c r="O545" s="352"/>
      <c r="P545" s="363"/>
      <c r="R545" s="352"/>
    </row>
    <row r="546">
      <c r="B546" s="352"/>
      <c r="C546" s="352"/>
      <c r="E546" s="361"/>
      <c r="F546" s="362"/>
      <c r="G546" s="361"/>
      <c r="I546" s="349"/>
      <c r="K546" s="352"/>
      <c r="L546" s="352"/>
      <c r="N546" s="205"/>
      <c r="O546" s="352"/>
      <c r="P546" s="363"/>
      <c r="R546" s="352"/>
    </row>
    <row r="547">
      <c r="B547" s="352"/>
      <c r="C547" s="352"/>
      <c r="E547" s="361"/>
      <c r="F547" s="362"/>
      <c r="G547" s="361"/>
      <c r="I547" s="349"/>
      <c r="K547" s="352"/>
      <c r="L547" s="352"/>
      <c r="N547" s="205"/>
      <c r="O547" s="352"/>
      <c r="P547" s="363"/>
      <c r="R547" s="352"/>
    </row>
    <row r="548">
      <c r="B548" s="352"/>
      <c r="C548" s="352"/>
      <c r="E548" s="361"/>
      <c r="F548" s="362"/>
      <c r="G548" s="361"/>
      <c r="I548" s="349"/>
      <c r="K548" s="352"/>
      <c r="L548" s="352"/>
      <c r="N548" s="205"/>
      <c r="O548" s="352"/>
      <c r="P548" s="363"/>
      <c r="R548" s="352"/>
    </row>
    <row r="549">
      <c r="B549" s="352"/>
      <c r="C549" s="352"/>
      <c r="E549" s="361"/>
      <c r="F549" s="362"/>
      <c r="G549" s="361"/>
      <c r="I549" s="349"/>
      <c r="K549" s="352"/>
      <c r="L549" s="352"/>
      <c r="N549" s="205"/>
      <c r="O549" s="352"/>
      <c r="P549" s="363"/>
      <c r="R549" s="352"/>
    </row>
    <row r="550">
      <c r="B550" s="352"/>
      <c r="C550" s="352"/>
      <c r="E550" s="361"/>
      <c r="F550" s="362"/>
      <c r="G550" s="361"/>
      <c r="I550" s="349"/>
      <c r="K550" s="352"/>
      <c r="L550" s="352"/>
      <c r="N550" s="205"/>
      <c r="O550" s="352"/>
      <c r="P550" s="363"/>
      <c r="R550" s="352"/>
    </row>
    <row r="551">
      <c r="B551" s="352"/>
      <c r="C551" s="352"/>
      <c r="E551" s="361"/>
      <c r="F551" s="362"/>
      <c r="G551" s="361"/>
      <c r="I551" s="349"/>
      <c r="K551" s="352"/>
      <c r="L551" s="352"/>
      <c r="N551" s="205"/>
      <c r="O551" s="352"/>
      <c r="P551" s="363"/>
      <c r="R551" s="352"/>
    </row>
    <row r="552">
      <c r="B552" s="352"/>
      <c r="C552" s="352"/>
      <c r="E552" s="361"/>
      <c r="F552" s="362"/>
      <c r="G552" s="361"/>
      <c r="I552" s="349"/>
      <c r="K552" s="352"/>
      <c r="L552" s="352"/>
      <c r="N552" s="205"/>
      <c r="O552" s="352"/>
      <c r="P552" s="363"/>
      <c r="R552" s="352"/>
    </row>
    <row r="553">
      <c r="B553" s="352"/>
      <c r="C553" s="352"/>
      <c r="E553" s="361"/>
      <c r="F553" s="362"/>
      <c r="G553" s="361"/>
      <c r="I553" s="349"/>
      <c r="K553" s="352"/>
      <c r="L553" s="352"/>
      <c r="N553" s="205"/>
      <c r="O553" s="352"/>
      <c r="P553" s="363"/>
      <c r="R553" s="352"/>
    </row>
    <row r="554">
      <c r="B554" s="352"/>
      <c r="C554" s="352"/>
      <c r="E554" s="361"/>
      <c r="F554" s="362"/>
      <c r="G554" s="361"/>
      <c r="I554" s="349"/>
      <c r="K554" s="352"/>
      <c r="L554" s="352"/>
      <c r="N554" s="205"/>
      <c r="O554" s="352"/>
      <c r="P554" s="363"/>
      <c r="R554" s="352"/>
    </row>
    <row r="555">
      <c r="B555" s="352"/>
      <c r="C555" s="352"/>
      <c r="E555" s="361"/>
      <c r="F555" s="362"/>
      <c r="G555" s="361"/>
      <c r="I555" s="349"/>
      <c r="K555" s="352"/>
      <c r="L555" s="352"/>
      <c r="N555" s="205"/>
      <c r="O555" s="352"/>
      <c r="P555" s="363"/>
      <c r="R555" s="352"/>
    </row>
    <row r="556">
      <c r="B556" s="352"/>
      <c r="C556" s="352"/>
      <c r="E556" s="361"/>
      <c r="F556" s="362"/>
      <c r="G556" s="361"/>
      <c r="I556" s="349"/>
      <c r="K556" s="352"/>
      <c r="L556" s="352"/>
      <c r="N556" s="205"/>
      <c r="O556" s="352"/>
      <c r="P556" s="363"/>
      <c r="R556" s="352"/>
    </row>
    <row r="557">
      <c r="B557" s="352"/>
      <c r="C557" s="352"/>
      <c r="E557" s="361"/>
      <c r="F557" s="362"/>
      <c r="G557" s="361"/>
      <c r="I557" s="349"/>
      <c r="K557" s="352"/>
      <c r="L557" s="352"/>
      <c r="N557" s="205"/>
      <c r="O557" s="352"/>
      <c r="P557" s="363"/>
      <c r="R557" s="352"/>
    </row>
    <row r="558">
      <c r="B558" s="352"/>
      <c r="C558" s="352"/>
      <c r="E558" s="361"/>
      <c r="F558" s="362"/>
      <c r="G558" s="361"/>
      <c r="I558" s="349"/>
      <c r="K558" s="352"/>
      <c r="L558" s="352"/>
      <c r="N558" s="205"/>
      <c r="O558" s="352"/>
      <c r="P558" s="363"/>
      <c r="R558" s="352"/>
    </row>
    <row r="559">
      <c r="B559" s="352"/>
      <c r="C559" s="352"/>
      <c r="E559" s="361"/>
      <c r="F559" s="362"/>
      <c r="G559" s="361"/>
      <c r="I559" s="349"/>
      <c r="K559" s="352"/>
      <c r="L559" s="352"/>
      <c r="N559" s="205"/>
      <c r="O559" s="352"/>
      <c r="P559" s="363"/>
      <c r="R559" s="352"/>
    </row>
    <row r="560">
      <c r="B560" s="352"/>
      <c r="C560" s="352"/>
      <c r="E560" s="361"/>
      <c r="F560" s="362"/>
      <c r="G560" s="361"/>
      <c r="I560" s="349"/>
      <c r="K560" s="352"/>
      <c r="L560" s="352"/>
      <c r="N560" s="205"/>
      <c r="O560" s="352"/>
      <c r="P560" s="363"/>
      <c r="R560" s="352"/>
    </row>
    <row r="561">
      <c r="B561" s="352"/>
      <c r="C561" s="352"/>
      <c r="E561" s="361"/>
      <c r="F561" s="362"/>
      <c r="G561" s="361"/>
      <c r="I561" s="349"/>
      <c r="K561" s="352"/>
      <c r="L561" s="352"/>
      <c r="N561" s="205"/>
      <c r="O561" s="352"/>
      <c r="P561" s="363"/>
      <c r="R561" s="352"/>
    </row>
    <row r="562">
      <c r="B562" s="352"/>
      <c r="C562" s="352"/>
      <c r="E562" s="361"/>
      <c r="F562" s="362"/>
      <c r="G562" s="361"/>
      <c r="I562" s="349"/>
      <c r="K562" s="352"/>
      <c r="L562" s="352"/>
      <c r="N562" s="205"/>
      <c r="O562" s="352"/>
      <c r="P562" s="363"/>
      <c r="R562" s="352"/>
    </row>
    <row r="563">
      <c r="B563" s="352"/>
      <c r="C563" s="352"/>
      <c r="E563" s="361"/>
      <c r="F563" s="362"/>
      <c r="G563" s="361"/>
      <c r="I563" s="349"/>
      <c r="K563" s="352"/>
      <c r="L563" s="352"/>
      <c r="N563" s="205"/>
      <c r="O563" s="352"/>
      <c r="P563" s="363"/>
      <c r="R563" s="352"/>
    </row>
    <row r="564">
      <c r="B564" s="352"/>
      <c r="C564" s="352"/>
      <c r="E564" s="361"/>
      <c r="F564" s="362"/>
      <c r="G564" s="361"/>
      <c r="I564" s="349"/>
      <c r="K564" s="352"/>
      <c r="L564" s="352"/>
      <c r="N564" s="205"/>
      <c r="O564" s="352"/>
      <c r="P564" s="363"/>
      <c r="R564" s="352"/>
    </row>
    <row r="565">
      <c r="B565" s="352"/>
      <c r="C565" s="352"/>
      <c r="E565" s="361"/>
      <c r="F565" s="362"/>
      <c r="G565" s="361"/>
      <c r="I565" s="349"/>
      <c r="K565" s="352"/>
      <c r="L565" s="352"/>
      <c r="N565" s="205"/>
      <c r="O565" s="352"/>
      <c r="P565" s="363"/>
      <c r="R565" s="352"/>
    </row>
    <row r="566">
      <c r="B566" s="352"/>
      <c r="C566" s="352"/>
      <c r="E566" s="361"/>
      <c r="F566" s="362"/>
      <c r="G566" s="361"/>
      <c r="I566" s="349"/>
      <c r="K566" s="352"/>
      <c r="L566" s="352"/>
      <c r="N566" s="205"/>
      <c r="O566" s="352"/>
      <c r="P566" s="363"/>
      <c r="R566" s="352"/>
    </row>
    <row r="567">
      <c r="B567" s="352"/>
      <c r="C567" s="352"/>
      <c r="E567" s="361"/>
      <c r="F567" s="362"/>
      <c r="G567" s="361"/>
      <c r="I567" s="349"/>
      <c r="K567" s="352"/>
      <c r="L567" s="352"/>
      <c r="N567" s="205"/>
      <c r="O567" s="352"/>
      <c r="P567" s="363"/>
      <c r="R567" s="352"/>
    </row>
    <row r="568">
      <c r="B568" s="352"/>
      <c r="C568" s="352"/>
      <c r="E568" s="361"/>
      <c r="F568" s="362"/>
      <c r="G568" s="361"/>
      <c r="I568" s="349"/>
      <c r="K568" s="352"/>
      <c r="L568" s="352"/>
      <c r="N568" s="205"/>
      <c r="O568" s="352"/>
      <c r="P568" s="363"/>
      <c r="R568" s="352"/>
    </row>
    <row r="569">
      <c r="B569" s="352"/>
      <c r="C569" s="352"/>
      <c r="E569" s="361"/>
      <c r="F569" s="362"/>
      <c r="G569" s="361"/>
      <c r="I569" s="349"/>
      <c r="K569" s="352"/>
      <c r="L569" s="352"/>
      <c r="N569" s="205"/>
      <c r="O569" s="352"/>
      <c r="P569" s="363"/>
      <c r="R569" s="352"/>
    </row>
    <row r="570">
      <c r="B570" s="352"/>
      <c r="C570" s="352"/>
      <c r="E570" s="361"/>
      <c r="F570" s="362"/>
      <c r="G570" s="361"/>
      <c r="I570" s="349"/>
      <c r="K570" s="352"/>
      <c r="L570" s="352"/>
      <c r="N570" s="205"/>
      <c r="O570" s="352"/>
      <c r="P570" s="363"/>
      <c r="R570" s="352"/>
    </row>
    <row r="571">
      <c r="B571" s="352"/>
      <c r="C571" s="352"/>
      <c r="E571" s="361"/>
      <c r="F571" s="362"/>
      <c r="G571" s="361"/>
      <c r="I571" s="349"/>
      <c r="K571" s="352"/>
      <c r="L571" s="352"/>
      <c r="N571" s="205"/>
      <c r="O571" s="352"/>
      <c r="P571" s="363"/>
      <c r="R571" s="352"/>
    </row>
    <row r="572">
      <c r="B572" s="352"/>
      <c r="C572" s="352"/>
      <c r="E572" s="361"/>
      <c r="F572" s="362"/>
      <c r="G572" s="361"/>
      <c r="I572" s="349"/>
      <c r="K572" s="352"/>
      <c r="L572" s="352"/>
      <c r="N572" s="205"/>
      <c r="O572" s="352"/>
      <c r="P572" s="363"/>
      <c r="R572" s="352"/>
    </row>
    <row r="573">
      <c r="B573" s="352"/>
      <c r="C573" s="352"/>
      <c r="E573" s="361"/>
      <c r="F573" s="362"/>
      <c r="G573" s="361"/>
      <c r="I573" s="349"/>
      <c r="K573" s="352"/>
      <c r="L573" s="352"/>
      <c r="N573" s="205"/>
      <c r="O573" s="352"/>
      <c r="P573" s="363"/>
      <c r="R573" s="352"/>
    </row>
    <row r="574">
      <c r="B574" s="352"/>
      <c r="C574" s="352"/>
      <c r="E574" s="361"/>
      <c r="F574" s="362"/>
      <c r="G574" s="361"/>
      <c r="I574" s="349"/>
      <c r="K574" s="352"/>
      <c r="L574" s="352"/>
      <c r="N574" s="205"/>
      <c r="O574" s="352"/>
      <c r="P574" s="363"/>
      <c r="R574" s="352"/>
    </row>
    <row r="575">
      <c r="B575" s="352"/>
      <c r="C575" s="352"/>
      <c r="E575" s="361"/>
      <c r="F575" s="362"/>
      <c r="G575" s="361"/>
      <c r="I575" s="349"/>
      <c r="K575" s="352"/>
      <c r="L575" s="352"/>
      <c r="N575" s="205"/>
      <c r="O575" s="352"/>
      <c r="P575" s="363"/>
      <c r="R575" s="352"/>
    </row>
    <row r="576">
      <c r="B576" s="352"/>
      <c r="C576" s="352"/>
      <c r="E576" s="361"/>
      <c r="F576" s="362"/>
      <c r="G576" s="361"/>
      <c r="I576" s="349"/>
      <c r="K576" s="352"/>
      <c r="L576" s="352"/>
      <c r="N576" s="205"/>
      <c r="O576" s="352"/>
      <c r="P576" s="363"/>
      <c r="R576" s="352"/>
    </row>
    <row r="577">
      <c r="B577" s="352"/>
      <c r="C577" s="352"/>
      <c r="E577" s="361"/>
      <c r="F577" s="362"/>
      <c r="G577" s="361"/>
      <c r="I577" s="349"/>
      <c r="K577" s="352"/>
      <c r="L577" s="352"/>
      <c r="N577" s="205"/>
      <c r="O577" s="352"/>
      <c r="P577" s="363"/>
      <c r="R577" s="352"/>
    </row>
    <row r="578">
      <c r="B578" s="352"/>
      <c r="C578" s="352"/>
      <c r="E578" s="361"/>
      <c r="F578" s="362"/>
      <c r="G578" s="361"/>
      <c r="I578" s="349"/>
      <c r="K578" s="352"/>
      <c r="L578" s="352"/>
      <c r="N578" s="205"/>
      <c r="O578" s="352"/>
      <c r="P578" s="363"/>
      <c r="R578" s="352"/>
    </row>
    <row r="579">
      <c r="B579" s="352"/>
      <c r="C579" s="352"/>
      <c r="E579" s="361"/>
      <c r="F579" s="362"/>
      <c r="G579" s="361"/>
      <c r="I579" s="349"/>
      <c r="K579" s="352"/>
      <c r="L579" s="352"/>
      <c r="N579" s="205"/>
      <c r="O579" s="352"/>
      <c r="P579" s="363"/>
      <c r="R579" s="352"/>
    </row>
    <row r="580">
      <c r="B580" s="352"/>
      <c r="C580" s="352"/>
      <c r="E580" s="361"/>
      <c r="F580" s="362"/>
      <c r="G580" s="361"/>
      <c r="I580" s="349"/>
      <c r="K580" s="352"/>
      <c r="L580" s="352"/>
      <c r="N580" s="205"/>
      <c r="O580" s="352"/>
      <c r="P580" s="363"/>
      <c r="R580" s="352"/>
    </row>
    <row r="581">
      <c r="B581" s="352"/>
      <c r="C581" s="352"/>
      <c r="E581" s="361"/>
      <c r="F581" s="362"/>
      <c r="G581" s="361"/>
      <c r="I581" s="349"/>
      <c r="K581" s="352"/>
      <c r="L581" s="352"/>
      <c r="N581" s="205"/>
      <c r="O581" s="352"/>
      <c r="P581" s="363"/>
      <c r="R581" s="352"/>
    </row>
    <row r="582">
      <c r="B582" s="352"/>
      <c r="C582" s="352"/>
      <c r="E582" s="361"/>
      <c r="F582" s="362"/>
      <c r="G582" s="361"/>
      <c r="I582" s="349"/>
      <c r="K582" s="352"/>
      <c r="L582" s="352"/>
      <c r="N582" s="205"/>
      <c r="O582" s="352"/>
      <c r="P582" s="363"/>
      <c r="R582" s="352"/>
    </row>
    <row r="583">
      <c r="B583" s="352"/>
      <c r="C583" s="352"/>
      <c r="E583" s="361"/>
      <c r="F583" s="362"/>
      <c r="G583" s="361"/>
      <c r="I583" s="349"/>
      <c r="K583" s="352"/>
      <c r="L583" s="352"/>
      <c r="N583" s="205"/>
      <c r="O583" s="352"/>
      <c r="P583" s="363"/>
      <c r="R583" s="352"/>
    </row>
    <row r="584">
      <c r="B584" s="352"/>
      <c r="C584" s="352"/>
      <c r="E584" s="361"/>
      <c r="F584" s="362"/>
      <c r="G584" s="361"/>
      <c r="I584" s="349"/>
      <c r="K584" s="352"/>
      <c r="L584" s="352"/>
      <c r="N584" s="205"/>
      <c r="O584" s="352"/>
      <c r="P584" s="363"/>
      <c r="R584" s="352"/>
    </row>
    <row r="585">
      <c r="B585" s="352"/>
      <c r="C585" s="352"/>
      <c r="E585" s="361"/>
      <c r="F585" s="362"/>
      <c r="G585" s="361"/>
      <c r="I585" s="349"/>
      <c r="K585" s="352"/>
      <c r="L585" s="352"/>
      <c r="N585" s="205"/>
      <c r="O585" s="352"/>
      <c r="P585" s="363"/>
      <c r="R585" s="352"/>
    </row>
    <row r="586">
      <c r="B586" s="352"/>
      <c r="C586" s="352"/>
      <c r="E586" s="361"/>
      <c r="F586" s="362"/>
      <c r="G586" s="361"/>
      <c r="I586" s="349"/>
      <c r="K586" s="352"/>
      <c r="L586" s="352"/>
      <c r="N586" s="205"/>
      <c r="O586" s="352"/>
      <c r="P586" s="363"/>
      <c r="R586" s="352"/>
    </row>
    <row r="587">
      <c r="B587" s="352"/>
      <c r="C587" s="352"/>
      <c r="E587" s="361"/>
      <c r="F587" s="362"/>
      <c r="G587" s="361"/>
      <c r="I587" s="349"/>
      <c r="K587" s="352"/>
      <c r="L587" s="352"/>
      <c r="N587" s="205"/>
      <c r="O587" s="352"/>
      <c r="P587" s="363"/>
      <c r="R587" s="352"/>
    </row>
    <row r="588">
      <c r="B588" s="352"/>
      <c r="C588" s="352"/>
      <c r="E588" s="361"/>
      <c r="F588" s="362"/>
      <c r="G588" s="361"/>
      <c r="I588" s="349"/>
      <c r="K588" s="352"/>
      <c r="L588" s="352"/>
      <c r="N588" s="205"/>
      <c r="O588" s="352"/>
      <c r="P588" s="363"/>
      <c r="R588" s="352"/>
    </row>
    <row r="589">
      <c r="B589" s="352"/>
      <c r="C589" s="352"/>
      <c r="E589" s="361"/>
      <c r="F589" s="362"/>
      <c r="G589" s="361"/>
      <c r="I589" s="349"/>
      <c r="K589" s="352"/>
      <c r="L589" s="352"/>
      <c r="N589" s="205"/>
      <c r="O589" s="352"/>
      <c r="P589" s="363"/>
      <c r="R589" s="352"/>
    </row>
    <row r="590">
      <c r="B590" s="352"/>
      <c r="C590" s="352"/>
      <c r="E590" s="361"/>
      <c r="F590" s="362"/>
      <c r="G590" s="361"/>
      <c r="I590" s="349"/>
      <c r="K590" s="352"/>
      <c r="L590" s="352"/>
      <c r="N590" s="205"/>
      <c r="O590" s="352"/>
      <c r="P590" s="363"/>
      <c r="R590" s="352"/>
    </row>
    <row r="591">
      <c r="B591" s="352"/>
      <c r="C591" s="352"/>
      <c r="E591" s="361"/>
      <c r="F591" s="362"/>
      <c r="G591" s="361"/>
      <c r="I591" s="349"/>
      <c r="K591" s="352"/>
      <c r="L591" s="352"/>
      <c r="N591" s="205"/>
      <c r="O591" s="352"/>
      <c r="P591" s="363"/>
      <c r="R591" s="352"/>
    </row>
    <row r="592">
      <c r="B592" s="352"/>
      <c r="C592" s="352"/>
      <c r="E592" s="361"/>
      <c r="F592" s="362"/>
      <c r="G592" s="361"/>
      <c r="I592" s="349"/>
      <c r="K592" s="352"/>
      <c r="L592" s="352"/>
      <c r="N592" s="205"/>
      <c r="O592" s="352"/>
      <c r="P592" s="363"/>
      <c r="R592" s="352"/>
    </row>
    <row r="593">
      <c r="B593" s="352"/>
      <c r="C593" s="352"/>
      <c r="E593" s="361"/>
      <c r="F593" s="362"/>
      <c r="G593" s="361"/>
      <c r="I593" s="349"/>
      <c r="K593" s="352"/>
      <c r="L593" s="352"/>
      <c r="N593" s="205"/>
      <c r="O593" s="352"/>
      <c r="P593" s="363"/>
      <c r="R593" s="352"/>
    </row>
    <row r="594">
      <c r="B594" s="352"/>
      <c r="C594" s="352"/>
      <c r="E594" s="361"/>
      <c r="F594" s="362"/>
      <c r="G594" s="361"/>
      <c r="I594" s="349"/>
      <c r="K594" s="352"/>
      <c r="L594" s="352"/>
      <c r="N594" s="205"/>
      <c r="O594" s="352"/>
      <c r="P594" s="363"/>
      <c r="R594" s="352"/>
    </row>
    <row r="595">
      <c r="B595" s="352"/>
      <c r="C595" s="352"/>
      <c r="E595" s="361"/>
      <c r="F595" s="362"/>
      <c r="G595" s="361"/>
      <c r="I595" s="349"/>
      <c r="K595" s="352"/>
      <c r="L595" s="352"/>
      <c r="N595" s="205"/>
      <c r="O595" s="352"/>
      <c r="P595" s="363"/>
      <c r="R595" s="352"/>
    </row>
    <row r="596">
      <c r="B596" s="352"/>
      <c r="C596" s="352"/>
      <c r="E596" s="361"/>
      <c r="F596" s="362"/>
      <c r="G596" s="361"/>
      <c r="I596" s="349"/>
      <c r="K596" s="352"/>
      <c r="L596" s="352"/>
      <c r="N596" s="205"/>
      <c r="O596" s="352"/>
      <c r="P596" s="363"/>
      <c r="R596" s="352"/>
    </row>
    <row r="597">
      <c r="B597" s="352"/>
      <c r="C597" s="352"/>
      <c r="E597" s="361"/>
      <c r="F597" s="362"/>
      <c r="G597" s="361"/>
      <c r="I597" s="349"/>
      <c r="K597" s="352"/>
      <c r="L597" s="352"/>
      <c r="N597" s="205"/>
      <c r="O597" s="352"/>
      <c r="P597" s="363"/>
      <c r="R597" s="352"/>
    </row>
    <row r="598">
      <c r="B598" s="352"/>
      <c r="C598" s="352"/>
      <c r="E598" s="361"/>
      <c r="F598" s="362"/>
      <c r="G598" s="361"/>
      <c r="I598" s="349"/>
      <c r="K598" s="352"/>
      <c r="L598" s="352"/>
      <c r="N598" s="205"/>
      <c r="O598" s="352"/>
      <c r="P598" s="363"/>
      <c r="R598" s="352"/>
    </row>
    <row r="599">
      <c r="B599" s="352"/>
      <c r="C599" s="352"/>
      <c r="E599" s="361"/>
      <c r="F599" s="362"/>
      <c r="G599" s="361"/>
      <c r="I599" s="349"/>
      <c r="K599" s="352"/>
      <c r="L599" s="352"/>
      <c r="N599" s="205"/>
      <c r="O599" s="352"/>
      <c r="P599" s="363"/>
      <c r="R599" s="352"/>
    </row>
    <row r="600">
      <c r="B600" s="352"/>
      <c r="C600" s="352"/>
      <c r="E600" s="361"/>
      <c r="F600" s="362"/>
      <c r="G600" s="361"/>
      <c r="I600" s="349"/>
      <c r="K600" s="352"/>
      <c r="L600" s="352"/>
      <c r="N600" s="205"/>
      <c r="O600" s="352"/>
      <c r="P600" s="363"/>
      <c r="R600" s="352"/>
    </row>
    <row r="601">
      <c r="B601" s="352"/>
      <c r="C601" s="352"/>
      <c r="E601" s="361"/>
      <c r="F601" s="362"/>
      <c r="G601" s="361"/>
      <c r="I601" s="349"/>
      <c r="K601" s="352"/>
      <c r="L601" s="352"/>
      <c r="N601" s="205"/>
      <c r="O601" s="352"/>
      <c r="P601" s="363"/>
      <c r="R601" s="352"/>
    </row>
    <row r="602">
      <c r="B602" s="352"/>
      <c r="C602" s="352"/>
      <c r="E602" s="361"/>
      <c r="F602" s="362"/>
      <c r="G602" s="361"/>
      <c r="I602" s="349"/>
      <c r="K602" s="352"/>
      <c r="L602" s="352"/>
      <c r="N602" s="205"/>
      <c r="O602" s="352"/>
      <c r="P602" s="363"/>
      <c r="R602" s="352"/>
    </row>
    <row r="603">
      <c r="B603" s="352"/>
      <c r="C603" s="352"/>
      <c r="E603" s="361"/>
      <c r="F603" s="362"/>
      <c r="G603" s="361"/>
      <c r="I603" s="349"/>
      <c r="K603" s="352"/>
      <c r="L603" s="352"/>
      <c r="N603" s="205"/>
      <c r="O603" s="352"/>
      <c r="P603" s="363"/>
      <c r="R603" s="352"/>
    </row>
    <row r="604">
      <c r="B604" s="352"/>
      <c r="C604" s="352"/>
      <c r="E604" s="361"/>
      <c r="F604" s="362"/>
      <c r="G604" s="361"/>
      <c r="I604" s="349"/>
      <c r="K604" s="352"/>
      <c r="L604" s="352"/>
      <c r="N604" s="205"/>
      <c r="O604" s="352"/>
      <c r="P604" s="363"/>
      <c r="R604" s="352"/>
    </row>
    <row r="605">
      <c r="B605" s="352"/>
      <c r="C605" s="352"/>
      <c r="E605" s="361"/>
      <c r="F605" s="362"/>
      <c r="G605" s="361"/>
      <c r="I605" s="349"/>
      <c r="K605" s="352"/>
      <c r="L605" s="352"/>
      <c r="N605" s="205"/>
      <c r="O605" s="352"/>
      <c r="P605" s="363"/>
      <c r="R605" s="352"/>
    </row>
    <row r="606">
      <c r="B606" s="352"/>
      <c r="C606" s="352"/>
      <c r="E606" s="361"/>
      <c r="F606" s="362"/>
      <c r="G606" s="361"/>
      <c r="I606" s="349"/>
      <c r="K606" s="352"/>
      <c r="L606" s="352"/>
      <c r="N606" s="205"/>
      <c r="O606" s="352"/>
      <c r="P606" s="363"/>
      <c r="R606" s="352"/>
    </row>
    <row r="607">
      <c r="B607" s="352"/>
      <c r="C607" s="352"/>
      <c r="E607" s="361"/>
      <c r="F607" s="362"/>
      <c r="G607" s="361"/>
      <c r="I607" s="349"/>
      <c r="K607" s="352"/>
      <c r="L607" s="352"/>
      <c r="N607" s="205"/>
      <c r="O607" s="352"/>
      <c r="P607" s="363"/>
      <c r="R607" s="352"/>
    </row>
    <row r="608">
      <c r="B608" s="352"/>
      <c r="C608" s="352"/>
      <c r="E608" s="361"/>
      <c r="F608" s="362"/>
      <c r="G608" s="361"/>
      <c r="I608" s="349"/>
      <c r="K608" s="352"/>
      <c r="L608" s="352"/>
      <c r="N608" s="205"/>
      <c r="O608" s="352"/>
      <c r="P608" s="363"/>
      <c r="R608" s="352"/>
    </row>
    <row r="609">
      <c r="B609" s="352"/>
      <c r="C609" s="352"/>
      <c r="E609" s="361"/>
      <c r="F609" s="362"/>
      <c r="G609" s="361"/>
      <c r="I609" s="349"/>
      <c r="K609" s="352"/>
      <c r="L609" s="352"/>
      <c r="N609" s="205"/>
      <c r="O609" s="352"/>
      <c r="P609" s="363"/>
      <c r="R609" s="352"/>
    </row>
    <row r="610">
      <c r="B610" s="352"/>
      <c r="C610" s="352"/>
      <c r="E610" s="361"/>
      <c r="F610" s="362"/>
      <c r="G610" s="361"/>
      <c r="I610" s="349"/>
      <c r="K610" s="352"/>
      <c r="L610" s="352"/>
      <c r="N610" s="205"/>
      <c r="O610" s="352"/>
      <c r="P610" s="363"/>
      <c r="R610" s="352"/>
    </row>
    <row r="611">
      <c r="B611" s="352"/>
      <c r="C611" s="352"/>
      <c r="E611" s="361"/>
      <c r="F611" s="362"/>
      <c r="G611" s="361"/>
      <c r="I611" s="349"/>
      <c r="K611" s="352"/>
      <c r="L611" s="352"/>
      <c r="N611" s="205"/>
      <c r="O611" s="352"/>
      <c r="P611" s="363"/>
      <c r="R611" s="352"/>
    </row>
    <row r="612">
      <c r="B612" s="352"/>
      <c r="C612" s="352"/>
      <c r="E612" s="361"/>
      <c r="F612" s="362"/>
      <c r="G612" s="361"/>
      <c r="I612" s="349"/>
      <c r="K612" s="352"/>
      <c r="L612" s="352"/>
      <c r="N612" s="205"/>
      <c r="O612" s="352"/>
      <c r="P612" s="363"/>
      <c r="R612" s="352"/>
    </row>
    <row r="613">
      <c r="B613" s="352"/>
      <c r="C613" s="352"/>
      <c r="E613" s="361"/>
      <c r="F613" s="362"/>
      <c r="G613" s="361"/>
      <c r="I613" s="349"/>
      <c r="K613" s="352"/>
      <c r="L613" s="352"/>
      <c r="N613" s="205"/>
      <c r="O613" s="352"/>
      <c r="P613" s="363"/>
      <c r="R613" s="352"/>
    </row>
    <row r="614">
      <c r="B614" s="352"/>
      <c r="C614" s="352"/>
      <c r="E614" s="361"/>
      <c r="F614" s="362"/>
      <c r="G614" s="361"/>
      <c r="I614" s="349"/>
      <c r="K614" s="352"/>
      <c r="L614" s="352"/>
      <c r="N614" s="205"/>
      <c r="O614" s="352"/>
      <c r="P614" s="363"/>
      <c r="R614" s="352"/>
    </row>
    <row r="615">
      <c r="B615" s="352"/>
      <c r="C615" s="352"/>
      <c r="E615" s="361"/>
      <c r="F615" s="362"/>
      <c r="G615" s="361"/>
      <c r="I615" s="349"/>
      <c r="K615" s="352"/>
      <c r="L615" s="352"/>
      <c r="N615" s="205"/>
      <c r="O615" s="352"/>
      <c r="P615" s="363"/>
      <c r="R615" s="352"/>
    </row>
    <row r="616">
      <c r="B616" s="352"/>
      <c r="C616" s="352"/>
      <c r="E616" s="361"/>
      <c r="F616" s="362"/>
      <c r="G616" s="361"/>
      <c r="I616" s="349"/>
      <c r="K616" s="352"/>
      <c r="L616" s="352"/>
      <c r="N616" s="205"/>
      <c r="O616" s="352"/>
      <c r="P616" s="363"/>
      <c r="R616" s="352"/>
    </row>
    <row r="617">
      <c r="B617" s="352"/>
      <c r="C617" s="352"/>
      <c r="E617" s="361"/>
      <c r="F617" s="362"/>
      <c r="G617" s="361"/>
      <c r="I617" s="349"/>
      <c r="K617" s="352"/>
      <c r="L617" s="352"/>
      <c r="N617" s="205"/>
      <c r="O617" s="352"/>
      <c r="P617" s="363"/>
      <c r="R617" s="352"/>
    </row>
    <row r="618">
      <c r="B618" s="352"/>
      <c r="C618" s="352"/>
      <c r="E618" s="361"/>
      <c r="F618" s="362"/>
      <c r="G618" s="361"/>
      <c r="I618" s="349"/>
      <c r="K618" s="352"/>
      <c r="L618" s="352"/>
      <c r="N618" s="205"/>
      <c r="O618" s="352"/>
      <c r="P618" s="363"/>
      <c r="R618" s="352"/>
    </row>
    <row r="619">
      <c r="B619" s="352"/>
      <c r="C619" s="352"/>
      <c r="E619" s="361"/>
      <c r="F619" s="362"/>
      <c r="G619" s="361"/>
      <c r="I619" s="349"/>
      <c r="K619" s="352"/>
      <c r="L619" s="352"/>
      <c r="N619" s="205"/>
      <c r="O619" s="352"/>
      <c r="P619" s="363"/>
      <c r="R619" s="352"/>
    </row>
    <row r="620">
      <c r="B620" s="352"/>
      <c r="C620" s="352"/>
      <c r="E620" s="361"/>
      <c r="F620" s="362"/>
      <c r="G620" s="361"/>
      <c r="I620" s="349"/>
      <c r="K620" s="352"/>
      <c r="L620" s="352"/>
      <c r="N620" s="205"/>
      <c r="O620" s="352"/>
      <c r="P620" s="363"/>
      <c r="R620" s="352"/>
    </row>
    <row r="621">
      <c r="B621" s="352"/>
      <c r="C621" s="352"/>
      <c r="E621" s="361"/>
      <c r="F621" s="362"/>
      <c r="G621" s="361"/>
      <c r="I621" s="349"/>
      <c r="K621" s="352"/>
      <c r="L621" s="352"/>
      <c r="N621" s="205"/>
      <c r="O621" s="352"/>
      <c r="P621" s="363"/>
      <c r="R621" s="352"/>
    </row>
    <row r="622">
      <c r="B622" s="352"/>
      <c r="C622" s="352"/>
      <c r="E622" s="361"/>
      <c r="F622" s="362"/>
      <c r="G622" s="361"/>
      <c r="I622" s="349"/>
      <c r="K622" s="352"/>
      <c r="L622" s="352"/>
      <c r="N622" s="205"/>
      <c r="O622" s="352"/>
      <c r="P622" s="363"/>
      <c r="R622" s="352"/>
    </row>
    <row r="623">
      <c r="B623" s="352"/>
      <c r="C623" s="352"/>
      <c r="E623" s="361"/>
      <c r="F623" s="362"/>
      <c r="G623" s="361"/>
      <c r="I623" s="349"/>
      <c r="K623" s="352"/>
      <c r="L623" s="352"/>
      <c r="N623" s="205"/>
      <c r="O623" s="352"/>
      <c r="P623" s="363"/>
      <c r="R623" s="352"/>
    </row>
    <row r="624">
      <c r="B624" s="352"/>
      <c r="C624" s="352"/>
      <c r="E624" s="361"/>
      <c r="F624" s="362"/>
      <c r="G624" s="361"/>
      <c r="I624" s="349"/>
      <c r="K624" s="352"/>
      <c r="L624" s="352"/>
      <c r="N624" s="205"/>
      <c r="O624" s="352"/>
      <c r="P624" s="363"/>
      <c r="R624" s="352"/>
    </row>
    <row r="625">
      <c r="B625" s="352"/>
      <c r="C625" s="352"/>
      <c r="E625" s="361"/>
      <c r="F625" s="362"/>
      <c r="G625" s="361"/>
      <c r="I625" s="349"/>
      <c r="K625" s="352"/>
      <c r="L625" s="352"/>
      <c r="N625" s="205"/>
      <c r="O625" s="352"/>
      <c r="P625" s="363"/>
      <c r="R625" s="352"/>
    </row>
    <row r="626">
      <c r="B626" s="352"/>
      <c r="C626" s="352"/>
      <c r="E626" s="361"/>
      <c r="F626" s="362"/>
      <c r="G626" s="361"/>
      <c r="I626" s="349"/>
      <c r="K626" s="352"/>
      <c r="L626" s="352"/>
      <c r="N626" s="205"/>
      <c r="O626" s="352"/>
      <c r="P626" s="363"/>
      <c r="R626" s="352"/>
    </row>
    <row r="627">
      <c r="B627" s="352"/>
      <c r="C627" s="352"/>
      <c r="E627" s="361"/>
      <c r="F627" s="362"/>
      <c r="G627" s="361"/>
      <c r="I627" s="349"/>
      <c r="K627" s="352"/>
      <c r="L627" s="352"/>
      <c r="N627" s="205"/>
      <c r="O627" s="352"/>
      <c r="P627" s="363"/>
      <c r="R627" s="352"/>
    </row>
    <row r="628">
      <c r="B628" s="352"/>
      <c r="C628" s="352"/>
      <c r="E628" s="361"/>
      <c r="F628" s="362"/>
      <c r="G628" s="361"/>
      <c r="I628" s="349"/>
      <c r="K628" s="352"/>
      <c r="L628" s="352"/>
      <c r="N628" s="205"/>
      <c r="O628" s="352"/>
      <c r="P628" s="363"/>
      <c r="R628" s="352"/>
    </row>
    <row r="629">
      <c r="B629" s="352"/>
      <c r="C629" s="352"/>
      <c r="E629" s="361"/>
      <c r="F629" s="362"/>
      <c r="G629" s="361"/>
      <c r="I629" s="349"/>
      <c r="K629" s="352"/>
      <c r="L629" s="352"/>
      <c r="N629" s="205"/>
      <c r="O629" s="352"/>
      <c r="P629" s="363"/>
      <c r="R629" s="352"/>
    </row>
    <row r="630">
      <c r="B630" s="352"/>
      <c r="C630" s="352"/>
      <c r="E630" s="361"/>
      <c r="F630" s="362"/>
      <c r="G630" s="361"/>
      <c r="I630" s="349"/>
      <c r="K630" s="352"/>
      <c r="L630" s="352"/>
      <c r="N630" s="205"/>
      <c r="O630" s="352"/>
      <c r="P630" s="363"/>
      <c r="R630" s="352"/>
    </row>
    <row r="631">
      <c r="B631" s="352"/>
      <c r="C631" s="352"/>
      <c r="E631" s="361"/>
      <c r="F631" s="362"/>
      <c r="G631" s="361"/>
      <c r="I631" s="349"/>
      <c r="K631" s="352"/>
      <c r="L631" s="352"/>
      <c r="N631" s="205"/>
      <c r="O631" s="352"/>
      <c r="P631" s="363"/>
      <c r="R631" s="352"/>
    </row>
    <row r="632">
      <c r="B632" s="352"/>
      <c r="C632" s="352"/>
      <c r="E632" s="361"/>
      <c r="F632" s="362"/>
      <c r="G632" s="361"/>
      <c r="I632" s="349"/>
      <c r="K632" s="352"/>
      <c r="L632" s="352"/>
      <c r="N632" s="205"/>
      <c r="O632" s="352"/>
      <c r="P632" s="363"/>
      <c r="R632" s="352"/>
    </row>
    <row r="633">
      <c r="B633" s="352"/>
      <c r="C633" s="352"/>
      <c r="E633" s="361"/>
      <c r="F633" s="362"/>
      <c r="G633" s="361"/>
      <c r="I633" s="349"/>
      <c r="K633" s="352"/>
      <c r="L633" s="352"/>
      <c r="N633" s="205"/>
      <c r="O633" s="352"/>
      <c r="P633" s="363"/>
      <c r="R633" s="352"/>
    </row>
    <row r="634">
      <c r="B634" s="352"/>
      <c r="C634" s="352"/>
      <c r="E634" s="361"/>
      <c r="F634" s="362"/>
      <c r="G634" s="361"/>
      <c r="I634" s="349"/>
      <c r="K634" s="352"/>
      <c r="L634" s="352"/>
      <c r="N634" s="205"/>
      <c r="O634" s="352"/>
      <c r="P634" s="363"/>
      <c r="R634" s="352"/>
    </row>
    <row r="635">
      <c r="B635" s="352"/>
      <c r="C635" s="352"/>
      <c r="E635" s="361"/>
      <c r="F635" s="362"/>
      <c r="G635" s="361"/>
      <c r="I635" s="349"/>
      <c r="K635" s="352"/>
      <c r="L635" s="352"/>
      <c r="N635" s="205"/>
      <c r="O635" s="352"/>
      <c r="P635" s="363"/>
      <c r="R635" s="352"/>
    </row>
    <row r="636">
      <c r="B636" s="352"/>
      <c r="C636" s="352"/>
      <c r="E636" s="361"/>
      <c r="F636" s="362"/>
      <c r="G636" s="361"/>
      <c r="I636" s="349"/>
      <c r="K636" s="352"/>
      <c r="L636" s="352"/>
      <c r="N636" s="205"/>
      <c r="O636" s="352"/>
      <c r="P636" s="363"/>
      <c r="R636" s="352"/>
    </row>
    <row r="637">
      <c r="B637" s="352"/>
      <c r="C637" s="352"/>
      <c r="E637" s="361"/>
      <c r="F637" s="362"/>
      <c r="G637" s="361"/>
      <c r="I637" s="349"/>
      <c r="K637" s="352"/>
      <c r="L637" s="352"/>
      <c r="N637" s="205"/>
      <c r="O637" s="352"/>
      <c r="P637" s="363"/>
      <c r="R637" s="352"/>
    </row>
    <row r="638">
      <c r="B638" s="352"/>
      <c r="C638" s="352"/>
      <c r="E638" s="361"/>
      <c r="F638" s="362"/>
      <c r="G638" s="361"/>
      <c r="I638" s="349"/>
      <c r="K638" s="352"/>
      <c r="L638" s="352"/>
      <c r="N638" s="205"/>
      <c r="O638" s="352"/>
      <c r="P638" s="363"/>
      <c r="R638" s="352"/>
    </row>
    <row r="639">
      <c r="B639" s="352"/>
      <c r="C639" s="352"/>
      <c r="E639" s="361"/>
      <c r="F639" s="362"/>
      <c r="G639" s="361"/>
      <c r="I639" s="349"/>
      <c r="K639" s="352"/>
      <c r="L639" s="352"/>
      <c r="N639" s="205"/>
      <c r="O639" s="352"/>
      <c r="P639" s="363"/>
      <c r="R639" s="352"/>
    </row>
    <row r="640">
      <c r="B640" s="352"/>
      <c r="C640" s="352"/>
      <c r="E640" s="361"/>
      <c r="F640" s="362"/>
      <c r="G640" s="361"/>
      <c r="I640" s="349"/>
      <c r="K640" s="352"/>
      <c r="L640" s="352"/>
      <c r="N640" s="205"/>
      <c r="O640" s="352"/>
      <c r="P640" s="363"/>
      <c r="R640" s="352"/>
    </row>
    <row r="641">
      <c r="B641" s="352"/>
      <c r="C641" s="352"/>
      <c r="E641" s="361"/>
      <c r="F641" s="362"/>
      <c r="G641" s="361"/>
      <c r="I641" s="349"/>
      <c r="K641" s="352"/>
      <c r="L641" s="352"/>
      <c r="N641" s="205"/>
      <c r="O641" s="352"/>
      <c r="P641" s="363"/>
      <c r="R641" s="352"/>
    </row>
    <row r="642">
      <c r="B642" s="352"/>
      <c r="C642" s="352"/>
      <c r="E642" s="361"/>
      <c r="F642" s="362"/>
      <c r="G642" s="361"/>
      <c r="I642" s="349"/>
      <c r="K642" s="352"/>
      <c r="L642" s="352"/>
      <c r="N642" s="205"/>
      <c r="O642" s="352"/>
      <c r="P642" s="363"/>
      <c r="R642" s="352"/>
    </row>
    <row r="643">
      <c r="B643" s="352"/>
      <c r="C643" s="352"/>
      <c r="E643" s="361"/>
      <c r="F643" s="362"/>
      <c r="G643" s="361"/>
      <c r="I643" s="349"/>
      <c r="K643" s="352"/>
      <c r="L643" s="352"/>
      <c r="N643" s="205"/>
      <c r="O643" s="352"/>
      <c r="P643" s="363"/>
      <c r="R643" s="352"/>
    </row>
    <row r="644">
      <c r="B644" s="352"/>
      <c r="C644" s="352"/>
      <c r="E644" s="361"/>
      <c r="F644" s="362"/>
      <c r="G644" s="361"/>
      <c r="I644" s="349"/>
      <c r="K644" s="352"/>
      <c r="L644" s="352"/>
      <c r="N644" s="205"/>
      <c r="O644" s="352"/>
      <c r="P644" s="363"/>
      <c r="R644" s="352"/>
    </row>
    <row r="645">
      <c r="B645" s="352"/>
      <c r="C645" s="352"/>
      <c r="E645" s="361"/>
      <c r="F645" s="362"/>
      <c r="G645" s="361"/>
      <c r="I645" s="349"/>
      <c r="K645" s="352"/>
      <c r="L645" s="352"/>
      <c r="N645" s="205"/>
      <c r="O645" s="352"/>
      <c r="P645" s="363"/>
      <c r="R645" s="352"/>
    </row>
    <row r="646">
      <c r="B646" s="352"/>
      <c r="C646" s="352"/>
      <c r="E646" s="361"/>
      <c r="F646" s="362"/>
      <c r="G646" s="361"/>
      <c r="I646" s="349"/>
      <c r="K646" s="352"/>
      <c r="L646" s="352"/>
      <c r="N646" s="205"/>
      <c r="O646" s="352"/>
      <c r="P646" s="363"/>
      <c r="R646" s="352"/>
    </row>
    <row r="647">
      <c r="B647" s="352"/>
      <c r="C647" s="352"/>
      <c r="E647" s="361"/>
      <c r="F647" s="362"/>
      <c r="G647" s="361"/>
      <c r="I647" s="349"/>
      <c r="K647" s="352"/>
      <c r="L647" s="352"/>
      <c r="N647" s="205"/>
      <c r="O647" s="352"/>
      <c r="P647" s="363"/>
      <c r="R647" s="352"/>
    </row>
    <row r="648">
      <c r="B648" s="352"/>
      <c r="C648" s="352"/>
      <c r="E648" s="361"/>
      <c r="F648" s="362"/>
      <c r="G648" s="361"/>
      <c r="I648" s="349"/>
      <c r="K648" s="352"/>
      <c r="L648" s="352"/>
      <c r="N648" s="205"/>
      <c r="O648" s="352"/>
      <c r="P648" s="363"/>
      <c r="R648" s="352"/>
    </row>
    <row r="649">
      <c r="B649" s="352"/>
      <c r="C649" s="352"/>
      <c r="E649" s="361"/>
      <c r="F649" s="362"/>
      <c r="G649" s="361"/>
      <c r="I649" s="349"/>
      <c r="K649" s="352"/>
      <c r="L649" s="352"/>
      <c r="N649" s="205"/>
      <c r="O649" s="352"/>
      <c r="P649" s="363"/>
      <c r="R649" s="352"/>
    </row>
    <row r="650">
      <c r="B650" s="352"/>
      <c r="C650" s="352"/>
      <c r="E650" s="361"/>
      <c r="F650" s="362"/>
      <c r="G650" s="361"/>
      <c r="I650" s="349"/>
      <c r="K650" s="352"/>
      <c r="L650" s="352"/>
      <c r="N650" s="205"/>
      <c r="O650" s="352"/>
      <c r="P650" s="363"/>
      <c r="R650" s="352"/>
    </row>
    <row r="651">
      <c r="B651" s="352"/>
      <c r="C651" s="352"/>
      <c r="E651" s="361"/>
      <c r="F651" s="362"/>
      <c r="G651" s="361"/>
      <c r="I651" s="349"/>
      <c r="K651" s="352"/>
      <c r="L651" s="352"/>
      <c r="N651" s="205"/>
      <c r="O651" s="352"/>
      <c r="P651" s="363"/>
      <c r="R651" s="352"/>
    </row>
    <row r="652">
      <c r="B652" s="352"/>
      <c r="C652" s="352"/>
      <c r="E652" s="361"/>
      <c r="F652" s="362"/>
      <c r="G652" s="361"/>
      <c r="I652" s="349"/>
      <c r="K652" s="352"/>
      <c r="L652" s="352"/>
      <c r="N652" s="205"/>
      <c r="O652" s="352"/>
      <c r="P652" s="363"/>
      <c r="R652" s="352"/>
    </row>
    <row r="653">
      <c r="B653" s="352"/>
      <c r="C653" s="352"/>
      <c r="E653" s="361"/>
      <c r="F653" s="362"/>
      <c r="G653" s="361"/>
      <c r="I653" s="349"/>
      <c r="K653" s="352"/>
      <c r="L653" s="352"/>
      <c r="N653" s="205"/>
      <c r="O653" s="352"/>
      <c r="P653" s="363"/>
      <c r="R653" s="352"/>
    </row>
    <row r="654">
      <c r="B654" s="352"/>
      <c r="C654" s="352"/>
      <c r="E654" s="361"/>
      <c r="F654" s="362"/>
      <c r="G654" s="361"/>
      <c r="I654" s="349"/>
      <c r="K654" s="352"/>
      <c r="L654" s="352"/>
      <c r="N654" s="205"/>
      <c r="O654" s="352"/>
      <c r="P654" s="363"/>
      <c r="R654" s="352"/>
    </row>
    <row r="655">
      <c r="B655" s="352"/>
      <c r="C655" s="352"/>
      <c r="E655" s="361"/>
      <c r="F655" s="362"/>
      <c r="G655" s="361"/>
      <c r="I655" s="349"/>
      <c r="K655" s="352"/>
      <c r="L655" s="352"/>
      <c r="N655" s="205"/>
      <c r="O655" s="352"/>
      <c r="P655" s="363"/>
      <c r="R655" s="352"/>
    </row>
    <row r="656">
      <c r="B656" s="352"/>
      <c r="C656" s="352"/>
      <c r="E656" s="361"/>
      <c r="F656" s="362"/>
      <c r="G656" s="361"/>
      <c r="I656" s="349"/>
      <c r="K656" s="352"/>
      <c r="L656" s="352"/>
      <c r="N656" s="205"/>
      <c r="O656" s="352"/>
      <c r="P656" s="363"/>
      <c r="R656" s="352"/>
    </row>
    <row r="657">
      <c r="B657" s="352"/>
      <c r="C657" s="352"/>
      <c r="E657" s="361"/>
      <c r="F657" s="362"/>
      <c r="G657" s="361"/>
      <c r="I657" s="349"/>
      <c r="K657" s="352"/>
      <c r="L657" s="352"/>
      <c r="N657" s="205"/>
      <c r="O657" s="352"/>
      <c r="P657" s="363"/>
      <c r="R657" s="352"/>
    </row>
    <row r="658">
      <c r="B658" s="352"/>
      <c r="C658" s="352"/>
      <c r="E658" s="361"/>
      <c r="F658" s="362"/>
      <c r="G658" s="361"/>
      <c r="I658" s="349"/>
      <c r="K658" s="352"/>
      <c r="L658" s="352"/>
      <c r="N658" s="205"/>
      <c r="O658" s="352"/>
      <c r="P658" s="363"/>
      <c r="R658" s="352"/>
    </row>
    <row r="659">
      <c r="B659" s="352"/>
      <c r="C659" s="352"/>
      <c r="E659" s="361"/>
      <c r="F659" s="362"/>
      <c r="G659" s="361"/>
      <c r="I659" s="349"/>
      <c r="K659" s="352"/>
      <c r="L659" s="352"/>
      <c r="N659" s="205"/>
      <c r="O659" s="352"/>
      <c r="P659" s="363"/>
      <c r="R659" s="352"/>
    </row>
    <row r="660">
      <c r="B660" s="352"/>
      <c r="C660" s="352"/>
      <c r="E660" s="361"/>
      <c r="F660" s="362"/>
      <c r="G660" s="361"/>
      <c r="I660" s="349"/>
      <c r="K660" s="352"/>
      <c r="L660" s="352"/>
      <c r="N660" s="205"/>
      <c r="O660" s="352"/>
      <c r="P660" s="363"/>
      <c r="R660" s="352"/>
    </row>
    <row r="661">
      <c r="B661" s="352"/>
      <c r="C661" s="352"/>
      <c r="E661" s="361"/>
      <c r="F661" s="362"/>
      <c r="G661" s="361"/>
      <c r="I661" s="349"/>
      <c r="K661" s="352"/>
      <c r="L661" s="352"/>
      <c r="N661" s="205"/>
      <c r="O661" s="352"/>
      <c r="P661" s="363"/>
      <c r="R661" s="352"/>
    </row>
    <row r="662">
      <c r="B662" s="352"/>
      <c r="C662" s="352"/>
      <c r="E662" s="361"/>
      <c r="F662" s="362"/>
      <c r="G662" s="361"/>
      <c r="I662" s="349"/>
      <c r="K662" s="352"/>
      <c r="L662" s="352"/>
      <c r="N662" s="205"/>
      <c r="O662" s="352"/>
      <c r="P662" s="363"/>
      <c r="R662" s="352"/>
    </row>
    <row r="663">
      <c r="B663" s="352"/>
      <c r="C663" s="352"/>
      <c r="E663" s="361"/>
      <c r="F663" s="362"/>
      <c r="G663" s="361"/>
      <c r="I663" s="349"/>
      <c r="K663" s="352"/>
      <c r="L663" s="352"/>
      <c r="N663" s="205"/>
      <c r="O663" s="352"/>
      <c r="P663" s="363"/>
      <c r="R663" s="352"/>
    </row>
    <row r="664">
      <c r="B664" s="352"/>
      <c r="C664" s="352"/>
      <c r="E664" s="361"/>
      <c r="F664" s="362"/>
      <c r="G664" s="361"/>
      <c r="I664" s="349"/>
      <c r="K664" s="352"/>
      <c r="L664" s="352"/>
      <c r="N664" s="205"/>
      <c r="O664" s="352"/>
      <c r="P664" s="363"/>
      <c r="R664" s="352"/>
    </row>
    <row r="665">
      <c r="B665" s="352"/>
      <c r="C665" s="352"/>
      <c r="E665" s="361"/>
      <c r="F665" s="362"/>
      <c r="G665" s="361"/>
      <c r="I665" s="349"/>
      <c r="K665" s="352"/>
      <c r="L665" s="352"/>
      <c r="N665" s="205"/>
      <c r="O665" s="352"/>
      <c r="P665" s="363"/>
      <c r="R665" s="352"/>
    </row>
    <row r="666">
      <c r="B666" s="352"/>
      <c r="C666" s="352"/>
      <c r="E666" s="361"/>
      <c r="F666" s="362"/>
      <c r="G666" s="361"/>
      <c r="I666" s="349"/>
      <c r="K666" s="352"/>
      <c r="L666" s="352"/>
      <c r="N666" s="205"/>
      <c r="O666" s="352"/>
      <c r="P666" s="363"/>
      <c r="R666" s="352"/>
    </row>
    <row r="667">
      <c r="B667" s="352"/>
      <c r="C667" s="352"/>
      <c r="E667" s="361"/>
      <c r="F667" s="362"/>
      <c r="G667" s="361"/>
      <c r="I667" s="349"/>
      <c r="K667" s="352"/>
      <c r="L667" s="352"/>
      <c r="N667" s="205"/>
      <c r="O667" s="352"/>
      <c r="P667" s="363"/>
      <c r="R667" s="352"/>
    </row>
    <row r="668">
      <c r="B668" s="352"/>
      <c r="C668" s="352"/>
      <c r="E668" s="361"/>
      <c r="F668" s="362"/>
      <c r="G668" s="361"/>
      <c r="I668" s="349"/>
      <c r="K668" s="352"/>
      <c r="L668" s="352"/>
      <c r="N668" s="205"/>
      <c r="O668" s="352"/>
      <c r="P668" s="363"/>
      <c r="R668" s="352"/>
    </row>
    <row r="669">
      <c r="B669" s="352"/>
      <c r="C669" s="352"/>
      <c r="E669" s="361"/>
      <c r="F669" s="362"/>
      <c r="G669" s="361"/>
      <c r="I669" s="349"/>
      <c r="K669" s="352"/>
      <c r="L669" s="352"/>
      <c r="N669" s="205"/>
      <c r="O669" s="352"/>
      <c r="P669" s="363"/>
      <c r="R669" s="352"/>
    </row>
    <row r="670">
      <c r="B670" s="352"/>
      <c r="C670" s="352"/>
      <c r="E670" s="361"/>
      <c r="F670" s="362"/>
      <c r="G670" s="361"/>
      <c r="I670" s="349"/>
      <c r="K670" s="352"/>
      <c r="L670" s="352"/>
      <c r="N670" s="205"/>
      <c r="O670" s="352"/>
      <c r="P670" s="363"/>
      <c r="R670" s="352"/>
    </row>
    <row r="671">
      <c r="B671" s="352"/>
      <c r="C671" s="352"/>
      <c r="E671" s="361"/>
      <c r="F671" s="362"/>
      <c r="G671" s="361"/>
      <c r="I671" s="349"/>
      <c r="K671" s="352"/>
      <c r="L671" s="352"/>
      <c r="N671" s="205"/>
      <c r="O671" s="352"/>
      <c r="P671" s="363"/>
      <c r="R671" s="352"/>
    </row>
    <row r="672">
      <c r="B672" s="352"/>
      <c r="C672" s="352"/>
      <c r="E672" s="361"/>
      <c r="F672" s="362"/>
      <c r="G672" s="361"/>
      <c r="I672" s="349"/>
      <c r="K672" s="352"/>
      <c r="L672" s="352"/>
      <c r="N672" s="205"/>
      <c r="O672" s="352"/>
      <c r="P672" s="363"/>
      <c r="R672" s="352"/>
    </row>
    <row r="673">
      <c r="B673" s="352"/>
      <c r="C673" s="352"/>
      <c r="E673" s="361"/>
      <c r="F673" s="362"/>
      <c r="G673" s="361"/>
      <c r="I673" s="349"/>
      <c r="K673" s="352"/>
      <c r="L673" s="352"/>
      <c r="N673" s="205"/>
      <c r="O673" s="352"/>
      <c r="P673" s="363"/>
      <c r="R673" s="352"/>
    </row>
    <row r="674">
      <c r="B674" s="352"/>
      <c r="C674" s="352"/>
      <c r="E674" s="361"/>
      <c r="F674" s="362"/>
      <c r="G674" s="361"/>
      <c r="I674" s="349"/>
      <c r="K674" s="352"/>
      <c r="L674" s="352"/>
      <c r="N674" s="205"/>
      <c r="O674" s="352"/>
      <c r="P674" s="363"/>
      <c r="R674" s="352"/>
    </row>
    <row r="675">
      <c r="B675" s="352"/>
      <c r="C675" s="352"/>
      <c r="E675" s="361"/>
      <c r="F675" s="362"/>
      <c r="G675" s="361"/>
      <c r="I675" s="349"/>
      <c r="K675" s="352"/>
      <c r="L675" s="352"/>
      <c r="N675" s="205"/>
      <c r="O675" s="352"/>
      <c r="P675" s="363"/>
      <c r="R675" s="352"/>
    </row>
    <row r="676">
      <c r="B676" s="352"/>
      <c r="C676" s="352"/>
      <c r="E676" s="361"/>
      <c r="F676" s="362"/>
      <c r="G676" s="361"/>
      <c r="I676" s="349"/>
      <c r="K676" s="352"/>
      <c r="L676" s="352"/>
      <c r="N676" s="205"/>
      <c r="O676" s="352"/>
      <c r="P676" s="363"/>
      <c r="R676" s="352"/>
    </row>
    <row r="677">
      <c r="B677" s="352"/>
      <c r="C677" s="352"/>
      <c r="E677" s="361"/>
      <c r="F677" s="362"/>
      <c r="G677" s="361"/>
      <c r="I677" s="349"/>
      <c r="K677" s="352"/>
      <c r="L677" s="352"/>
      <c r="N677" s="205"/>
      <c r="O677" s="352"/>
      <c r="P677" s="363"/>
      <c r="R677" s="352"/>
    </row>
    <row r="678">
      <c r="B678" s="352"/>
      <c r="C678" s="352"/>
      <c r="E678" s="361"/>
      <c r="F678" s="362"/>
      <c r="G678" s="361"/>
      <c r="I678" s="349"/>
      <c r="K678" s="352"/>
      <c r="L678" s="352"/>
      <c r="N678" s="205"/>
      <c r="O678" s="352"/>
      <c r="P678" s="363"/>
      <c r="R678" s="352"/>
    </row>
    <row r="679">
      <c r="B679" s="352"/>
      <c r="C679" s="352"/>
      <c r="E679" s="361"/>
      <c r="F679" s="362"/>
      <c r="G679" s="361"/>
      <c r="I679" s="349"/>
      <c r="K679" s="352"/>
      <c r="L679" s="352"/>
      <c r="N679" s="205"/>
      <c r="O679" s="352"/>
      <c r="P679" s="363"/>
      <c r="R679" s="352"/>
    </row>
    <row r="680">
      <c r="B680" s="352"/>
      <c r="C680" s="352"/>
      <c r="E680" s="361"/>
      <c r="F680" s="362"/>
      <c r="G680" s="361"/>
      <c r="I680" s="349"/>
      <c r="K680" s="352"/>
      <c r="L680" s="352"/>
      <c r="N680" s="205"/>
      <c r="O680" s="352"/>
      <c r="P680" s="363"/>
      <c r="R680" s="352"/>
    </row>
    <row r="681">
      <c r="B681" s="352"/>
      <c r="C681" s="352"/>
      <c r="E681" s="361"/>
      <c r="F681" s="362"/>
      <c r="G681" s="361"/>
      <c r="I681" s="349"/>
      <c r="K681" s="352"/>
      <c r="L681" s="352"/>
      <c r="N681" s="205"/>
      <c r="O681" s="352"/>
      <c r="P681" s="363"/>
      <c r="R681" s="352"/>
    </row>
    <row r="682">
      <c r="B682" s="352"/>
      <c r="C682" s="352"/>
      <c r="E682" s="361"/>
      <c r="F682" s="362"/>
      <c r="G682" s="361"/>
      <c r="I682" s="349"/>
      <c r="K682" s="352"/>
      <c r="L682" s="352"/>
      <c r="N682" s="205"/>
      <c r="O682" s="352"/>
      <c r="P682" s="363"/>
      <c r="R682" s="352"/>
    </row>
    <row r="683">
      <c r="B683" s="352"/>
      <c r="C683" s="352"/>
      <c r="E683" s="361"/>
      <c r="F683" s="362"/>
      <c r="G683" s="361"/>
      <c r="I683" s="349"/>
      <c r="K683" s="352"/>
      <c r="L683" s="352"/>
      <c r="N683" s="205"/>
      <c r="O683" s="352"/>
      <c r="P683" s="363"/>
      <c r="R683" s="352"/>
    </row>
    <row r="684">
      <c r="B684" s="352"/>
      <c r="C684" s="352"/>
      <c r="E684" s="361"/>
      <c r="F684" s="362"/>
      <c r="G684" s="361"/>
      <c r="I684" s="349"/>
      <c r="K684" s="352"/>
      <c r="L684" s="352"/>
      <c r="N684" s="205"/>
      <c r="O684" s="352"/>
      <c r="P684" s="363"/>
      <c r="R684" s="352"/>
    </row>
    <row r="685">
      <c r="B685" s="352"/>
      <c r="C685" s="352"/>
      <c r="E685" s="361"/>
      <c r="F685" s="362"/>
      <c r="G685" s="361"/>
      <c r="I685" s="349"/>
      <c r="K685" s="352"/>
      <c r="L685" s="352"/>
      <c r="N685" s="205"/>
      <c r="O685" s="352"/>
      <c r="P685" s="363"/>
      <c r="R685" s="352"/>
    </row>
    <row r="686">
      <c r="B686" s="352"/>
      <c r="C686" s="352"/>
      <c r="E686" s="361"/>
      <c r="F686" s="362"/>
      <c r="G686" s="361"/>
      <c r="I686" s="349"/>
      <c r="K686" s="352"/>
      <c r="L686" s="352"/>
      <c r="N686" s="205"/>
      <c r="O686" s="352"/>
      <c r="P686" s="363"/>
      <c r="R686" s="352"/>
    </row>
    <row r="687">
      <c r="B687" s="352"/>
      <c r="C687" s="352"/>
      <c r="E687" s="361"/>
      <c r="F687" s="362"/>
      <c r="G687" s="361"/>
      <c r="I687" s="349"/>
      <c r="K687" s="352"/>
      <c r="L687" s="352"/>
      <c r="N687" s="205"/>
      <c r="O687" s="352"/>
      <c r="P687" s="363"/>
      <c r="R687" s="352"/>
    </row>
    <row r="688">
      <c r="B688" s="352"/>
      <c r="C688" s="352"/>
      <c r="E688" s="361"/>
      <c r="F688" s="362"/>
      <c r="G688" s="361"/>
      <c r="I688" s="349"/>
      <c r="K688" s="352"/>
      <c r="L688" s="352"/>
      <c r="N688" s="205"/>
      <c r="O688" s="352"/>
      <c r="P688" s="363"/>
      <c r="R688" s="352"/>
    </row>
    <row r="689">
      <c r="B689" s="352"/>
      <c r="C689" s="352"/>
      <c r="E689" s="361"/>
      <c r="F689" s="362"/>
      <c r="G689" s="361"/>
      <c r="I689" s="349"/>
      <c r="K689" s="352"/>
      <c r="L689" s="352"/>
      <c r="N689" s="205"/>
      <c r="O689" s="352"/>
      <c r="P689" s="363"/>
      <c r="R689" s="352"/>
    </row>
    <row r="690">
      <c r="B690" s="352"/>
      <c r="C690" s="352"/>
      <c r="E690" s="361"/>
      <c r="F690" s="362"/>
      <c r="G690" s="361"/>
      <c r="I690" s="349"/>
      <c r="K690" s="352"/>
      <c r="L690" s="352"/>
      <c r="N690" s="205"/>
      <c r="O690" s="352"/>
      <c r="P690" s="363"/>
      <c r="R690" s="352"/>
    </row>
    <row r="691">
      <c r="B691" s="352"/>
      <c r="C691" s="352"/>
      <c r="E691" s="361"/>
      <c r="F691" s="362"/>
      <c r="G691" s="361"/>
      <c r="I691" s="349"/>
      <c r="K691" s="352"/>
      <c r="L691" s="352"/>
      <c r="N691" s="205"/>
      <c r="O691" s="352"/>
      <c r="P691" s="363"/>
      <c r="R691" s="352"/>
    </row>
    <row r="692">
      <c r="B692" s="352"/>
      <c r="C692" s="352"/>
      <c r="E692" s="361"/>
      <c r="F692" s="362"/>
      <c r="G692" s="361"/>
      <c r="I692" s="349"/>
      <c r="K692" s="352"/>
      <c r="L692" s="352"/>
      <c r="N692" s="205"/>
      <c r="O692" s="352"/>
      <c r="P692" s="363"/>
      <c r="R692" s="352"/>
    </row>
    <row r="693">
      <c r="B693" s="352"/>
      <c r="C693" s="352"/>
      <c r="E693" s="361"/>
      <c r="F693" s="362"/>
      <c r="G693" s="361"/>
      <c r="I693" s="349"/>
      <c r="K693" s="352"/>
      <c r="L693" s="352"/>
      <c r="N693" s="205"/>
      <c r="O693" s="352"/>
      <c r="P693" s="363"/>
      <c r="R693" s="352"/>
    </row>
    <row r="694">
      <c r="B694" s="352"/>
      <c r="C694" s="352"/>
      <c r="E694" s="361"/>
      <c r="F694" s="362"/>
      <c r="G694" s="361"/>
      <c r="I694" s="349"/>
      <c r="K694" s="352"/>
      <c r="L694" s="352"/>
      <c r="N694" s="205"/>
      <c r="O694" s="352"/>
      <c r="P694" s="363"/>
      <c r="R694" s="352"/>
    </row>
    <row r="695">
      <c r="B695" s="352"/>
      <c r="C695" s="352"/>
      <c r="E695" s="361"/>
      <c r="F695" s="362"/>
      <c r="G695" s="361"/>
      <c r="I695" s="349"/>
      <c r="K695" s="352"/>
      <c r="L695" s="352"/>
      <c r="N695" s="205"/>
      <c r="O695" s="352"/>
      <c r="P695" s="363"/>
      <c r="R695" s="352"/>
    </row>
    <row r="696">
      <c r="B696" s="352"/>
      <c r="C696" s="352"/>
      <c r="E696" s="361"/>
      <c r="F696" s="362"/>
      <c r="G696" s="361"/>
      <c r="I696" s="349"/>
      <c r="K696" s="352"/>
      <c r="L696" s="352"/>
      <c r="N696" s="205"/>
      <c r="O696" s="352"/>
      <c r="P696" s="363"/>
      <c r="R696" s="352"/>
    </row>
    <row r="697">
      <c r="B697" s="352"/>
      <c r="C697" s="352"/>
      <c r="E697" s="361"/>
      <c r="F697" s="362"/>
      <c r="G697" s="361"/>
      <c r="I697" s="349"/>
      <c r="K697" s="352"/>
      <c r="L697" s="352"/>
      <c r="N697" s="205"/>
      <c r="O697" s="352"/>
      <c r="P697" s="363"/>
      <c r="R697" s="352"/>
    </row>
    <row r="698">
      <c r="B698" s="352"/>
      <c r="C698" s="352"/>
      <c r="E698" s="361"/>
      <c r="F698" s="362"/>
      <c r="G698" s="361"/>
      <c r="I698" s="349"/>
      <c r="K698" s="352"/>
      <c r="L698" s="352"/>
      <c r="N698" s="205"/>
      <c r="O698" s="352"/>
      <c r="P698" s="363"/>
      <c r="R698" s="352"/>
    </row>
    <row r="699">
      <c r="B699" s="352"/>
      <c r="C699" s="352"/>
      <c r="E699" s="361"/>
      <c r="F699" s="362"/>
      <c r="G699" s="361"/>
      <c r="I699" s="349"/>
      <c r="K699" s="352"/>
      <c r="L699" s="352"/>
      <c r="N699" s="205"/>
      <c r="O699" s="352"/>
      <c r="P699" s="363"/>
      <c r="R699" s="352"/>
    </row>
    <row r="700">
      <c r="B700" s="352"/>
      <c r="C700" s="352"/>
      <c r="E700" s="361"/>
      <c r="F700" s="362"/>
      <c r="G700" s="361"/>
      <c r="I700" s="349"/>
      <c r="K700" s="352"/>
      <c r="L700" s="352"/>
      <c r="N700" s="205"/>
      <c r="O700" s="352"/>
      <c r="P700" s="363"/>
      <c r="R700" s="352"/>
    </row>
    <row r="701">
      <c r="B701" s="352"/>
      <c r="C701" s="352"/>
      <c r="E701" s="361"/>
      <c r="F701" s="362"/>
      <c r="G701" s="361"/>
      <c r="I701" s="349"/>
      <c r="K701" s="352"/>
      <c r="L701" s="352"/>
      <c r="N701" s="205"/>
      <c r="O701" s="352"/>
      <c r="P701" s="363"/>
      <c r="R701" s="352"/>
    </row>
    <row r="702">
      <c r="B702" s="352"/>
      <c r="C702" s="352"/>
      <c r="E702" s="361"/>
      <c r="F702" s="362"/>
      <c r="G702" s="361"/>
      <c r="I702" s="349"/>
      <c r="K702" s="352"/>
      <c r="L702" s="352"/>
      <c r="N702" s="205"/>
      <c r="O702" s="352"/>
      <c r="P702" s="363"/>
      <c r="R702" s="352"/>
    </row>
    <row r="703">
      <c r="B703" s="352"/>
      <c r="C703" s="352"/>
      <c r="E703" s="361"/>
      <c r="F703" s="362"/>
      <c r="G703" s="361"/>
      <c r="I703" s="349"/>
      <c r="K703" s="352"/>
      <c r="L703" s="352"/>
      <c r="N703" s="205"/>
      <c r="O703" s="352"/>
      <c r="P703" s="363"/>
      <c r="R703" s="352"/>
    </row>
    <row r="704">
      <c r="B704" s="352"/>
      <c r="C704" s="352"/>
      <c r="E704" s="361"/>
      <c r="F704" s="362"/>
      <c r="G704" s="361"/>
      <c r="I704" s="349"/>
      <c r="K704" s="352"/>
      <c r="L704" s="352"/>
      <c r="N704" s="205"/>
      <c r="O704" s="352"/>
      <c r="P704" s="363"/>
      <c r="R704" s="352"/>
    </row>
    <row r="705">
      <c r="B705" s="352"/>
      <c r="C705" s="352"/>
      <c r="E705" s="361"/>
      <c r="F705" s="362"/>
      <c r="G705" s="361"/>
      <c r="I705" s="349"/>
      <c r="K705" s="352"/>
      <c r="L705" s="352"/>
      <c r="N705" s="205"/>
      <c r="O705" s="352"/>
      <c r="P705" s="363"/>
      <c r="R705" s="352"/>
    </row>
    <row r="706">
      <c r="B706" s="352"/>
      <c r="C706" s="352"/>
      <c r="E706" s="361"/>
      <c r="F706" s="362"/>
      <c r="G706" s="361"/>
      <c r="I706" s="349"/>
      <c r="K706" s="352"/>
      <c r="L706" s="352"/>
      <c r="N706" s="205"/>
      <c r="O706" s="352"/>
      <c r="P706" s="363"/>
      <c r="R706" s="352"/>
    </row>
    <row r="707">
      <c r="B707" s="352"/>
      <c r="C707" s="352"/>
      <c r="E707" s="361"/>
      <c r="F707" s="362"/>
      <c r="G707" s="361"/>
      <c r="I707" s="349"/>
      <c r="K707" s="352"/>
      <c r="L707" s="352"/>
      <c r="N707" s="205"/>
      <c r="O707" s="352"/>
      <c r="P707" s="363"/>
      <c r="R707" s="352"/>
    </row>
    <row r="708">
      <c r="B708" s="352"/>
      <c r="C708" s="352"/>
      <c r="E708" s="361"/>
      <c r="F708" s="362"/>
      <c r="G708" s="361"/>
      <c r="I708" s="349"/>
      <c r="K708" s="352"/>
      <c r="L708" s="352"/>
      <c r="N708" s="205"/>
      <c r="O708" s="352"/>
      <c r="P708" s="363"/>
      <c r="R708" s="352"/>
    </row>
    <row r="709">
      <c r="B709" s="352"/>
      <c r="C709" s="352"/>
      <c r="E709" s="361"/>
      <c r="F709" s="362"/>
      <c r="G709" s="361"/>
      <c r="I709" s="349"/>
      <c r="K709" s="352"/>
      <c r="L709" s="352"/>
      <c r="N709" s="205"/>
      <c r="O709" s="352"/>
      <c r="P709" s="363"/>
      <c r="R709" s="352"/>
    </row>
    <row r="710">
      <c r="B710" s="352"/>
      <c r="C710" s="352"/>
      <c r="E710" s="361"/>
      <c r="F710" s="362"/>
      <c r="G710" s="361"/>
      <c r="I710" s="349"/>
      <c r="K710" s="352"/>
      <c r="L710" s="352"/>
      <c r="N710" s="205"/>
      <c r="O710" s="352"/>
      <c r="P710" s="363"/>
      <c r="R710" s="352"/>
    </row>
    <row r="711">
      <c r="B711" s="352"/>
      <c r="C711" s="352"/>
      <c r="E711" s="361"/>
      <c r="F711" s="362"/>
      <c r="G711" s="361"/>
      <c r="I711" s="349"/>
      <c r="K711" s="352"/>
      <c r="L711" s="352"/>
      <c r="N711" s="205"/>
      <c r="O711" s="352"/>
      <c r="P711" s="363"/>
      <c r="R711" s="352"/>
    </row>
    <row r="712">
      <c r="B712" s="352"/>
      <c r="C712" s="352"/>
      <c r="E712" s="361"/>
      <c r="F712" s="362"/>
      <c r="G712" s="361"/>
      <c r="I712" s="349"/>
      <c r="K712" s="352"/>
      <c r="L712" s="352"/>
      <c r="N712" s="205"/>
      <c r="O712" s="352"/>
      <c r="P712" s="363"/>
      <c r="R712" s="352"/>
    </row>
    <row r="713">
      <c r="B713" s="352"/>
      <c r="C713" s="352"/>
      <c r="E713" s="361"/>
      <c r="F713" s="362"/>
      <c r="G713" s="361"/>
      <c r="I713" s="349"/>
      <c r="K713" s="352"/>
      <c r="L713" s="352"/>
      <c r="N713" s="205"/>
      <c r="O713" s="352"/>
      <c r="P713" s="363"/>
      <c r="R713" s="352"/>
    </row>
    <row r="714">
      <c r="B714" s="352"/>
      <c r="C714" s="352"/>
      <c r="E714" s="361"/>
      <c r="F714" s="362"/>
      <c r="G714" s="361"/>
      <c r="I714" s="349"/>
      <c r="K714" s="352"/>
      <c r="L714" s="352"/>
      <c r="N714" s="205"/>
      <c r="O714" s="352"/>
      <c r="P714" s="363"/>
      <c r="R714" s="352"/>
    </row>
    <row r="715">
      <c r="B715" s="352"/>
      <c r="C715" s="352"/>
      <c r="E715" s="361"/>
      <c r="F715" s="362"/>
      <c r="G715" s="361"/>
      <c r="I715" s="349"/>
      <c r="K715" s="352"/>
      <c r="L715" s="352"/>
      <c r="N715" s="205"/>
      <c r="O715" s="352"/>
      <c r="P715" s="363"/>
      <c r="R715" s="352"/>
    </row>
    <row r="716">
      <c r="B716" s="352"/>
      <c r="C716" s="352"/>
      <c r="E716" s="361"/>
      <c r="F716" s="362"/>
      <c r="G716" s="361"/>
      <c r="I716" s="349"/>
      <c r="K716" s="352"/>
      <c r="L716" s="352"/>
      <c r="N716" s="205"/>
      <c r="O716" s="352"/>
      <c r="P716" s="363"/>
      <c r="R716" s="352"/>
    </row>
    <row r="717">
      <c r="B717" s="352"/>
      <c r="C717" s="352"/>
      <c r="E717" s="361"/>
      <c r="F717" s="362"/>
      <c r="G717" s="361"/>
      <c r="I717" s="349"/>
      <c r="K717" s="352"/>
      <c r="L717" s="352"/>
      <c r="N717" s="205"/>
      <c r="O717" s="352"/>
      <c r="P717" s="363"/>
      <c r="R717" s="352"/>
    </row>
    <row r="718">
      <c r="B718" s="352"/>
      <c r="C718" s="352"/>
      <c r="E718" s="361"/>
      <c r="F718" s="362"/>
      <c r="G718" s="361"/>
      <c r="I718" s="349"/>
      <c r="K718" s="352"/>
      <c r="L718" s="352"/>
      <c r="N718" s="205"/>
      <c r="O718" s="352"/>
      <c r="P718" s="363"/>
      <c r="R718" s="352"/>
    </row>
    <row r="719">
      <c r="B719" s="352"/>
      <c r="C719" s="352"/>
      <c r="E719" s="361"/>
      <c r="F719" s="362"/>
      <c r="G719" s="361"/>
      <c r="I719" s="349"/>
      <c r="K719" s="352"/>
      <c r="L719" s="352"/>
      <c r="N719" s="205"/>
      <c r="O719" s="352"/>
      <c r="P719" s="363"/>
      <c r="R719" s="352"/>
    </row>
    <row r="720">
      <c r="B720" s="352"/>
      <c r="C720" s="352"/>
      <c r="E720" s="361"/>
      <c r="F720" s="362"/>
      <c r="G720" s="361"/>
      <c r="I720" s="349"/>
      <c r="K720" s="352"/>
      <c r="L720" s="352"/>
      <c r="N720" s="205"/>
      <c r="O720" s="352"/>
      <c r="P720" s="363"/>
      <c r="R720" s="352"/>
    </row>
    <row r="721">
      <c r="B721" s="352"/>
      <c r="C721" s="352"/>
      <c r="E721" s="361"/>
      <c r="F721" s="362"/>
      <c r="G721" s="361"/>
      <c r="I721" s="349"/>
      <c r="K721" s="352"/>
      <c r="L721" s="352"/>
      <c r="N721" s="205"/>
      <c r="O721" s="352"/>
      <c r="P721" s="363"/>
      <c r="R721" s="352"/>
    </row>
    <row r="722">
      <c r="B722" s="352"/>
      <c r="C722" s="352"/>
      <c r="E722" s="361"/>
      <c r="F722" s="362"/>
      <c r="G722" s="361"/>
      <c r="I722" s="349"/>
      <c r="K722" s="352"/>
      <c r="L722" s="352"/>
      <c r="N722" s="205"/>
      <c r="O722" s="352"/>
      <c r="P722" s="363"/>
      <c r="R722" s="352"/>
    </row>
    <row r="723">
      <c r="B723" s="352"/>
      <c r="C723" s="352"/>
      <c r="E723" s="361"/>
      <c r="F723" s="362"/>
      <c r="G723" s="361"/>
      <c r="I723" s="349"/>
      <c r="K723" s="352"/>
      <c r="L723" s="352"/>
      <c r="N723" s="205"/>
      <c r="O723" s="352"/>
      <c r="P723" s="363"/>
      <c r="R723" s="352"/>
    </row>
    <row r="724">
      <c r="B724" s="352"/>
      <c r="C724" s="352"/>
      <c r="E724" s="361"/>
      <c r="F724" s="362"/>
      <c r="G724" s="361"/>
      <c r="I724" s="349"/>
      <c r="K724" s="352"/>
      <c r="L724" s="352"/>
      <c r="N724" s="205"/>
      <c r="O724" s="352"/>
      <c r="P724" s="363"/>
      <c r="R724" s="352"/>
    </row>
    <row r="725">
      <c r="B725" s="352"/>
      <c r="C725" s="352"/>
      <c r="E725" s="361"/>
      <c r="F725" s="362"/>
      <c r="G725" s="361"/>
      <c r="I725" s="349"/>
      <c r="K725" s="352"/>
      <c r="L725" s="352"/>
      <c r="N725" s="205"/>
      <c r="O725" s="352"/>
      <c r="P725" s="363"/>
      <c r="R725" s="352"/>
    </row>
    <row r="726">
      <c r="B726" s="352"/>
      <c r="C726" s="352"/>
      <c r="E726" s="361"/>
      <c r="F726" s="362"/>
      <c r="G726" s="361"/>
      <c r="I726" s="349"/>
      <c r="K726" s="352"/>
      <c r="L726" s="352"/>
      <c r="N726" s="205"/>
      <c r="O726" s="352"/>
      <c r="P726" s="363"/>
      <c r="R726" s="352"/>
    </row>
    <row r="727">
      <c r="B727" s="352"/>
      <c r="C727" s="352"/>
      <c r="E727" s="361"/>
      <c r="F727" s="362"/>
      <c r="G727" s="361"/>
      <c r="I727" s="349"/>
      <c r="K727" s="352"/>
      <c r="L727" s="352"/>
      <c r="N727" s="205"/>
      <c r="O727" s="352"/>
      <c r="P727" s="363"/>
      <c r="R727" s="352"/>
    </row>
    <row r="728">
      <c r="B728" s="352"/>
      <c r="C728" s="352"/>
      <c r="E728" s="361"/>
      <c r="F728" s="362"/>
      <c r="G728" s="361"/>
      <c r="I728" s="349"/>
      <c r="K728" s="352"/>
      <c r="L728" s="352"/>
      <c r="N728" s="205"/>
      <c r="O728" s="352"/>
      <c r="P728" s="363"/>
      <c r="R728" s="352"/>
    </row>
    <row r="729">
      <c r="B729" s="352"/>
      <c r="C729" s="352"/>
      <c r="E729" s="361"/>
      <c r="F729" s="362"/>
      <c r="G729" s="361"/>
      <c r="I729" s="349"/>
      <c r="K729" s="352"/>
      <c r="L729" s="352"/>
      <c r="N729" s="205"/>
      <c r="O729" s="352"/>
      <c r="P729" s="363"/>
      <c r="R729" s="352"/>
    </row>
    <row r="730">
      <c r="B730" s="352"/>
      <c r="C730" s="352"/>
      <c r="E730" s="361"/>
      <c r="F730" s="362"/>
      <c r="G730" s="361"/>
      <c r="I730" s="349"/>
      <c r="K730" s="352"/>
      <c r="L730" s="352"/>
      <c r="N730" s="205"/>
      <c r="O730" s="352"/>
      <c r="P730" s="363"/>
      <c r="R730" s="352"/>
    </row>
    <row r="731">
      <c r="B731" s="352"/>
      <c r="C731" s="352"/>
      <c r="E731" s="361"/>
      <c r="F731" s="362"/>
      <c r="G731" s="361"/>
      <c r="I731" s="349"/>
      <c r="K731" s="352"/>
      <c r="L731" s="352"/>
      <c r="N731" s="205"/>
      <c r="O731" s="352"/>
      <c r="P731" s="363"/>
      <c r="R731" s="352"/>
    </row>
    <row r="732">
      <c r="B732" s="352"/>
      <c r="C732" s="352"/>
      <c r="E732" s="361"/>
      <c r="F732" s="362"/>
      <c r="G732" s="361"/>
      <c r="I732" s="349"/>
      <c r="K732" s="352"/>
      <c r="L732" s="352"/>
      <c r="N732" s="205"/>
      <c r="O732" s="352"/>
      <c r="P732" s="363"/>
      <c r="R732" s="352"/>
    </row>
    <row r="733">
      <c r="B733" s="352"/>
      <c r="C733" s="352"/>
      <c r="E733" s="361"/>
      <c r="F733" s="362"/>
      <c r="G733" s="361"/>
      <c r="I733" s="349"/>
      <c r="K733" s="352"/>
      <c r="L733" s="352"/>
      <c r="N733" s="205"/>
      <c r="O733" s="352"/>
      <c r="P733" s="363"/>
      <c r="R733" s="352"/>
    </row>
    <row r="734">
      <c r="B734" s="352"/>
      <c r="C734" s="352"/>
      <c r="E734" s="361"/>
      <c r="F734" s="362"/>
      <c r="G734" s="361"/>
      <c r="I734" s="349"/>
      <c r="K734" s="352"/>
      <c r="L734" s="352"/>
      <c r="N734" s="205"/>
      <c r="O734" s="352"/>
      <c r="P734" s="363"/>
      <c r="R734" s="352"/>
    </row>
    <row r="735">
      <c r="B735" s="352"/>
      <c r="C735" s="352"/>
      <c r="E735" s="361"/>
      <c r="F735" s="362"/>
      <c r="G735" s="361"/>
      <c r="I735" s="349"/>
      <c r="K735" s="352"/>
      <c r="L735" s="352"/>
      <c r="N735" s="205"/>
      <c r="O735" s="352"/>
      <c r="P735" s="363"/>
      <c r="R735" s="352"/>
    </row>
    <row r="736">
      <c r="B736" s="352"/>
      <c r="C736" s="352"/>
      <c r="E736" s="361"/>
      <c r="F736" s="362"/>
      <c r="G736" s="361"/>
      <c r="I736" s="349"/>
      <c r="K736" s="352"/>
      <c r="L736" s="352"/>
      <c r="N736" s="205"/>
      <c r="O736" s="352"/>
      <c r="P736" s="363"/>
      <c r="R736" s="352"/>
    </row>
    <row r="737">
      <c r="B737" s="352"/>
      <c r="C737" s="352"/>
      <c r="E737" s="361"/>
      <c r="F737" s="362"/>
      <c r="G737" s="361"/>
      <c r="I737" s="349"/>
      <c r="K737" s="352"/>
      <c r="L737" s="352"/>
      <c r="N737" s="205"/>
      <c r="O737" s="352"/>
      <c r="P737" s="363"/>
      <c r="R737" s="352"/>
    </row>
    <row r="738">
      <c r="B738" s="352"/>
      <c r="C738" s="352"/>
      <c r="E738" s="361"/>
      <c r="F738" s="362"/>
      <c r="G738" s="361"/>
      <c r="I738" s="349"/>
      <c r="K738" s="352"/>
      <c r="L738" s="352"/>
      <c r="N738" s="205"/>
      <c r="O738" s="352"/>
      <c r="P738" s="363"/>
      <c r="R738" s="352"/>
    </row>
    <row r="739">
      <c r="B739" s="352"/>
      <c r="C739" s="352"/>
      <c r="E739" s="361"/>
      <c r="F739" s="362"/>
      <c r="G739" s="361"/>
      <c r="I739" s="349"/>
      <c r="K739" s="352"/>
      <c r="L739" s="352"/>
      <c r="N739" s="205"/>
      <c r="O739" s="352"/>
      <c r="P739" s="363"/>
      <c r="R739" s="352"/>
    </row>
    <row r="740">
      <c r="B740" s="352"/>
      <c r="C740" s="352"/>
      <c r="E740" s="361"/>
      <c r="F740" s="362"/>
      <c r="G740" s="361"/>
      <c r="I740" s="349"/>
      <c r="K740" s="352"/>
      <c r="L740" s="352"/>
      <c r="N740" s="205"/>
      <c r="O740" s="352"/>
      <c r="P740" s="363"/>
      <c r="R740" s="352"/>
    </row>
    <row r="741">
      <c r="B741" s="352"/>
      <c r="C741" s="352"/>
      <c r="E741" s="361"/>
      <c r="F741" s="362"/>
      <c r="G741" s="361"/>
      <c r="I741" s="349"/>
      <c r="K741" s="352"/>
      <c r="L741" s="352"/>
      <c r="N741" s="205"/>
      <c r="O741" s="352"/>
      <c r="P741" s="363"/>
      <c r="R741" s="352"/>
    </row>
    <row r="742">
      <c r="B742" s="352"/>
      <c r="C742" s="352"/>
      <c r="E742" s="361"/>
      <c r="F742" s="362"/>
      <c r="G742" s="361"/>
      <c r="I742" s="349"/>
      <c r="K742" s="352"/>
      <c r="L742" s="352"/>
      <c r="N742" s="205"/>
      <c r="O742" s="352"/>
      <c r="P742" s="363"/>
      <c r="R742" s="352"/>
    </row>
    <row r="743">
      <c r="B743" s="352"/>
      <c r="C743" s="352"/>
      <c r="E743" s="361"/>
      <c r="F743" s="362"/>
      <c r="G743" s="361"/>
      <c r="I743" s="349"/>
      <c r="K743" s="352"/>
      <c r="L743" s="352"/>
      <c r="N743" s="205"/>
      <c r="O743" s="352"/>
      <c r="P743" s="363"/>
      <c r="R743" s="352"/>
    </row>
    <row r="744">
      <c r="B744" s="352"/>
      <c r="C744" s="352"/>
      <c r="E744" s="361"/>
      <c r="F744" s="362"/>
      <c r="G744" s="361"/>
      <c r="I744" s="349"/>
      <c r="K744" s="352"/>
      <c r="L744" s="352"/>
      <c r="N744" s="205"/>
      <c r="O744" s="352"/>
      <c r="P744" s="363"/>
      <c r="R744" s="352"/>
    </row>
    <row r="745">
      <c r="B745" s="352"/>
      <c r="C745" s="352"/>
      <c r="E745" s="361"/>
      <c r="F745" s="362"/>
      <c r="G745" s="361"/>
      <c r="I745" s="349"/>
      <c r="K745" s="352"/>
      <c r="L745" s="352"/>
      <c r="N745" s="205"/>
      <c r="O745" s="352"/>
      <c r="P745" s="363"/>
      <c r="R745" s="352"/>
    </row>
    <row r="746">
      <c r="B746" s="352"/>
      <c r="C746" s="352"/>
      <c r="E746" s="361"/>
      <c r="F746" s="362"/>
      <c r="G746" s="361"/>
      <c r="I746" s="349"/>
      <c r="K746" s="352"/>
      <c r="L746" s="352"/>
      <c r="N746" s="205"/>
      <c r="O746" s="352"/>
      <c r="P746" s="363"/>
      <c r="R746" s="352"/>
    </row>
    <row r="747">
      <c r="B747" s="352"/>
      <c r="C747" s="352"/>
      <c r="E747" s="361"/>
      <c r="F747" s="362"/>
      <c r="G747" s="361"/>
      <c r="I747" s="349"/>
      <c r="K747" s="352"/>
      <c r="L747" s="352"/>
      <c r="N747" s="205"/>
      <c r="O747" s="352"/>
      <c r="P747" s="363"/>
      <c r="R747" s="352"/>
    </row>
    <row r="748">
      <c r="B748" s="352"/>
      <c r="C748" s="352"/>
      <c r="E748" s="361"/>
      <c r="F748" s="362"/>
      <c r="G748" s="361"/>
      <c r="I748" s="349"/>
      <c r="K748" s="352"/>
      <c r="L748" s="352"/>
      <c r="N748" s="205"/>
      <c r="O748" s="352"/>
      <c r="P748" s="363"/>
      <c r="R748" s="352"/>
    </row>
    <row r="749">
      <c r="B749" s="352"/>
      <c r="C749" s="352"/>
      <c r="E749" s="361"/>
      <c r="F749" s="362"/>
      <c r="G749" s="361"/>
      <c r="I749" s="349"/>
      <c r="K749" s="352"/>
      <c r="L749" s="352"/>
      <c r="N749" s="205"/>
      <c r="O749" s="352"/>
      <c r="P749" s="363"/>
      <c r="R749" s="352"/>
    </row>
    <row r="750">
      <c r="B750" s="352"/>
      <c r="C750" s="352"/>
      <c r="E750" s="361"/>
      <c r="F750" s="362"/>
      <c r="G750" s="361"/>
      <c r="I750" s="349"/>
      <c r="K750" s="352"/>
      <c r="L750" s="352"/>
      <c r="N750" s="205"/>
      <c r="O750" s="352"/>
      <c r="P750" s="363"/>
      <c r="R750" s="352"/>
    </row>
    <row r="751">
      <c r="B751" s="352"/>
      <c r="C751" s="352"/>
      <c r="E751" s="361"/>
      <c r="F751" s="362"/>
      <c r="G751" s="361"/>
      <c r="I751" s="349"/>
      <c r="K751" s="352"/>
      <c r="L751" s="352"/>
      <c r="N751" s="205"/>
      <c r="O751" s="352"/>
      <c r="P751" s="363"/>
      <c r="R751" s="352"/>
    </row>
    <row r="752">
      <c r="B752" s="352"/>
      <c r="C752" s="352"/>
      <c r="E752" s="361"/>
      <c r="F752" s="362"/>
      <c r="G752" s="361"/>
      <c r="I752" s="349"/>
      <c r="K752" s="352"/>
      <c r="L752" s="352"/>
      <c r="N752" s="205"/>
      <c r="O752" s="352"/>
      <c r="P752" s="363"/>
      <c r="R752" s="352"/>
    </row>
    <row r="753">
      <c r="B753" s="352"/>
      <c r="C753" s="352"/>
      <c r="E753" s="361"/>
      <c r="F753" s="362"/>
      <c r="G753" s="361"/>
      <c r="I753" s="349"/>
      <c r="K753" s="352"/>
      <c r="L753" s="352"/>
      <c r="N753" s="205"/>
      <c r="O753" s="352"/>
      <c r="P753" s="363"/>
      <c r="R753" s="352"/>
    </row>
    <row r="754">
      <c r="B754" s="352"/>
      <c r="C754" s="352"/>
      <c r="E754" s="361"/>
      <c r="F754" s="362"/>
      <c r="G754" s="361"/>
      <c r="I754" s="349"/>
      <c r="K754" s="352"/>
      <c r="L754" s="352"/>
      <c r="N754" s="205"/>
      <c r="O754" s="352"/>
      <c r="P754" s="363"/>
      <c r="R754" s="352"/>
    </row>
    <row r="755">
      <c r="B755" s="352"/>
      <c r="C755" s="352"/>
      <c r="E755" s="361"/>
      <c r="F755" s="362"/>
      <c r="G755" s="361"/>
      <c r="I755" s="349"/>
      <c r="K755" s="352"/>
      <c r="L755" s="352"/>
      <c r="N755" s="205"/>
      <c r="O755" s="352"/>
      <c r="P755" s="363"/>
      <c r="R755" s="352"/>
    </row>
    <row r="756">
      <c r="B756" s="352"/>
      <c r="C756" s="352"/>
      <c r="E756" s="361"/>
      <c r="F756" s="362"/>
      <c r="G756" s="361"/>
      <c r="I756" s="349"/>
      <c r="K756" s="352"/>
      <c r="L756" s="352"/>
      <c r="N756" s="205"/>
      <c r="O756" s="352"/>
      <c r="P756" s="363"/>
      <c r="R756" s="352"/>
    </row>
    <row r="757">
      <c r="B757" s="352"/>
      <c r="C757" s="352"/>
      <c r="E757" s="361"/>
      <c r="F757" s="362"/>
      <c r="G757" s="361"/>
      <c r="I757" s="349"/>
      <c r="K757" s="352"/>
      <c r="L757" s="352"/>
      <c r="N757" s="205"/>
      <c r="O757" s="352"/>
      <c r="P757" s="363"/>
      <c r="R757" s="352"/>
    </row>
    <row r="758">
      <c r="B758" s="352"/>
      <c r="C758" s="352"/>
      <c r="E758" s="361"/>
      <c r="F758" s="362"/>
      <c r="G758" s="361"/>
      <c r="I758" s="349"/>
      <c r="K758" s="352"/>
      <c r="L758" s="352"/>
      <c r="N758" s="205"/>
      <c r="O758" s="352"/>
      <c r="P758" s="363"/>
      <c r="R758" s="352"/>
    </row>
    <row r="759">
      <c r="B759" s="352"/>
      <c r="C759" s="352"/>
      <c r="E759" s="361"/>
      <c r="F759" s="362"/>
      <c r="G759" s="361"/>
      <c r="I759" s="349"/>
      <c r="K759" s="352"/>
      <c r="L759" s="352"/>
      <c r="N759" s="205"/>
      <c r="O759" s="352"/>
      <c r="P759" s="363"/>
      <c r="R759" s="352"/>
    </row>
    <row r="760">
      <c r="B760" s="352"/>
      <c r="C760" s="352"/>
      <c r="E760" s="361"/>
      <c r="F760" s="362"/>
      <c r="G760" s="361"/>
      <c r="I760" s="349"/>
      <c r="K760" s="352"/>
      <c r="L760" s="352"/>
      <c r="N760" s="205"/>
      <c r="O760" s="352"/>
      <c r="P760" s="363"/>
      <c r="R760" s="352"/>
    </row>
    <row r="761">
      <c r="B761" s="352"/>
      <c r="C761" s="352"/>
      <c r="E761" s="361"/>
      <c r="F761" s="362"/>
      <c r="G761" s="361"/>
      <c r="I761" s="349"/>
      <c r="K761" s="352"/>
      <c r="L761" s="352"/>
      <c r="N761" s="205"/>
      <c r="O761" s="352"/>
      <c r="P761" s="363"/>
      <c r="R761" s="352"/>
    </row>
    <row r="762">
      <c r="B762" s="352"/>
      <c r="C762" s="352"/>
      <c r="E762" s="361"/>
      <c r="F762" s="362"/>
      <c r="G762" s="361"/>
      <c r="I762" s="349"/>
      <c r="K762" s="352"/>
      <c r="L762" s="352"/>
      <c r="N762" s="205"/>
      <c r="O762" s="352"/>
      <c r="P762" s="363"/>
      <c r="R762" s="352"/>
    </row>
    <row r="763">
      <c r="B763" s="352"/>
      <c r="C763" s="352"/>
      <c r="E763" s="361"/>
      <c r="F763" s="362"/>
      <c r="G763" s="361"/>
      <c r="I763" s="349"/>
      <c r="K763" s="352"/>
      <c r="L763" s="352"/>
      <c r="N763" s="205"/>
      <c r="O763" s="352"/>
      <c r="P763" s="363"/>
      <c r="R763" s="352"/>
    </row>
    <row r="764">
      <c r="B764" s="352"/>
      <c r="C764" s="352"/>
      <c r="E764" s="361"/>
      <c r="F764" s="362"/>
      <c r="G764" s="361"/>
      <c r="I764" s="349"/>
      <c r="K764" s="352"/>
      <c r="L764" s="352"/>
      <c r="N764" s="205"/>
      <c r="O764" s="352"/>
      <c r="P764" s="363"/>
      <c r="R764" s="352"/>
    </row>
    <row r="765">
      <c r="B765" s="352"/>
      <c r="C765" s="352"/>
      <c r="E765" s="361"/>
      <c r="F765" s="362"/>
      <c r="G765" s="361"/>
      <c r="I765" s="349"/>
      <c r="K765" s="352"/>
      <c r="L765" s="352"/>
      <c r="N765" s="205"/>
      <c r="O765" s="352"/>
      <c r="P765" s="363"/>
      <c r="R765" s="352"/>
    </row>
    <row r="766">
      <c r="B766" s="352"/>
      <c r="C766" s="352"/>
      <c r="E766" s="361"/>
      <c r="F766" s="362"/>
      <c r="G766" s="361"/>
      <c r="I766" s="349"/>
      <c r="K766" s="352"/>
      <c r="L766" s="352"/>
      <c r="N766" s="205"/>
      <c r="O766" s="352"/>
      <c r="P766" s="363"/>
      <c r="R766" s="352"/>
    </row>
    <row r="767">
      <c r="B767" s="352"/>
      <c r="C767" s="352"/>
      <c r="E767" s="361"/>
      <c r="F767" s="362"/>
      <c r="G767" s="361"/>
      <c r="I767" s="349"/>
      <c r="K767" s="352"/>
      <c r="L767" s="352"/>
      <c r="N767" s="205"/>
      <c r="O767" s="352"/>
      <c r="P767" s="363"/>
      <c r="R767" s="352"/>
    </row>
    <row r="768">
      <c r="B768" s="352"/>
      <c r="C768" s="352"/>
      <c r="E768" s="361"/>
      <c r="F768" s="362"/>
      <c r="G768" s="361"/>
      <c r="I768" s="349"/>
      <c r="K768" s="352"/>
      <c r="L768" s="352"/>
      <c r="N768" s="205"/>
      <c r="O768" s="352"/>
      <c r="P768" s="363"/>
      <c r="R768" s="352"/>
    </row>
    <row r="769">
      <c r="B769" s="352"/>
      <c r="C769" s="352"/>
      <c r="E769" s="361"/>
      <c r="F769" s="362"/>
      <c r="G769" s="361"/>
      <c r="I769" s="349"/>
      <c r="K769" s="352"/>
      <c r="L769" s="352"/>
      <c r="N769" s="205"/>
      <c r="O769" s="352"/>
      <c r="P769" s="363"/>
      <c r="R769" s="352"/>
    </row>
    <row r="770">
      <c r="B770" s="352"/>
      <c r="C770" s="352"/>
      <c r="E770" s="361"/>
      <c r="F770" s="362"/>
      <c r="G770" s="361"/>
      <c r="I770" s="349"/>
      <c r="K770" s="352"/>
      <c r="L770" s="352"/>
      <c r="N770" s="205"/>
      <c r="O770" s="352"/>
      <c r="P770" s="363"/>
      <c r="R770" s="352"/>
    </row>
    <row r="771">
      <c r="B771" s="352"/>
      <c r="C771" s="352"/>
      <c r="E771" s="361"/>
      <c r="F771" s="362"/>
      <c r="G771" s="361"/>
      <c r="I771" s="349"/>
      <c r="K771" s="352"/>
      <c r="L771" s="352"/>
      <c r="N771" s="205"/>
      <c r="O771" s="352"/>
      <c r="P771" s="363"/>
      <c r="R771" s="352"/>
    </row>
    <row r="772">
      <c r="B772" s="352"/>
      <c r="C772" s="352"/>
      <c r="E772" s="361"/>
      <c r="F772" s="362"/>
      <c r="G772" s="361"/>
      <c r="I772" s="349"/>
      <c r="K772" s="352"/>
      <c r="L772" s="352"/>
      <c r="N772" s="205"/>
      <c r="O772" s="352"/>
      <c r="P772" s="363"/>
      <c r="R772" s="352"/>
    </row>
    <row r="773">
      <c r="B773" s="352"/>
      <c r="C773" s="352"/>
      <c r="E773" s="361"/>
      <c r="F773" s="362"/>
      <c r="G773" s="361"/>
      <c r="I773" s="349"/>
      <c r="K773" s="352"/>
      <c r="L773" s="352"/>
      <c r="N773" s="205"/>
      <c r="O773" s="352"/>
      <c r="P773" s="363"/>
      <c r="R773" s="352"/>
    </row>
    <row r="774">
      <c r="B774" s="352"/>
      <c r="C774" s="352"/>
      <c r="E774" s="361"/>
      <c r="F774" s="362"/>
      <c r="G774" s="361"/>
      <c r="I774" s="349"/>
      <c r="K774" s="352"/>
      <c r="L774" s="352"/>
      <c r="N774" s="205"/>
      <c r="O774" s="352"/>
      <c r="P774" s="363"/>
      <c r="R774" s="352"/>
    </row>
    <row r="775">
      <c r="B775" s="352"/>
      <c r="C775" s="352"/>
      <c r="E775" s="361"/>
      <c r="F775" s="362"/>
      <c r="G775" s="361"/>
      <c r="I775" s="349"/>
      <c r="K775" s="352"/>
      <c r="L775" s="352"/>
      <c r="N775" s="205"/>
      <c r="O775" s="352"/>
      <c r="P775" s="363"/>
      <c r="R775" s="352"/>
    </row>
    <row r="776">
      <c r="B776" s="352"/>
      <c r="C776" s="352"/>
      <c r="E776" s="361"/>
      <c r="F776" s="362"/>
      <c r="G776" s="361"/>
      <c r="I776" s="349"/>
      <c r="K776" s="352"/>
      <c r="L776" s="352"/>
      <c r="N776" s="205"/>
      <c r="O776" s="352"/>
      <c r="P776" s="363"/>
      <c r="R776" s="352"/>
    </row>
    <row r="777">
      <c r="B777" s="352"/>
      <c r="C777" s="352"/>
      <c r="E777" s="361"/>
      <c r="F777" s="362"/>
      <c r="G777" s="361"/>
      <c r="I777" s="349"/>
      <c r="K777" s="352"/>
      <c r="L777" s="352"/>
      <c r="N777" s="205"/>
      <c r="O777" s="352"/>
      <c r="P777" s="363"/>
      <c r="R777" s="352"/>
    </row>
    <row r="778">
      <c r="B778" s="352"/>
      <c r="C778" s="352"/>
      <c r="E778" s="361"/>
      <c r="F778" s="362"/>
      <c r="G778" s="361"/>
      <c r="I778" s="349"/>
      <c r="K778" s="352"/>
      <c r="L778" s="352"/>
      <c r="N778" s="205"/>
      <c r="O778" s="352"/>
      <c r="P778" s="363"/>
      <c r="R778" s="352"/>
    </row>
    <row r="779">
      <c r="B779" s="352"/>
      <c r="C779" s="352"/>
      <c r="E779" s="361"/>
      <c r="F779" s="362"/>
      <c r="G779" s="361"/>
      <c r="I779" s="349"/>
      <c r="K779" s="352"/>
      <c r="L779" s="352"/>
      <c r="N779" s="205"/>
      <c r="O779" s="352"/>
      <c r="P779" s="363"/>
      <c r="R779" s="352"/>
    </row>
    <row r="780">
      <c r="B780" s="352"/>
      <c r="C780" s="352"/>
      <c r="E780" s="361"/>
      <c r="F780" s="362"/>
      <c r="G780" s="361"/>
      <c r="I780" s="349"/>
      <c r="K780" s="352"/>
      <c r="L780" s="352"/>
      <c r="N780" s="205"/>
      <c r="O780" s="352"/>
      <c r="P780" s="363"/>
      <c r="R780" s="352"/>
    </row>
    <row r="781">
      <c r="B781" s="352"/>
      <c r="C781" s="352"/>
      <c r="E781" s="361"/>
      <c r="F781" s="362"/>
      <c r="G781" s="361"/>
      <c r="I781" s="349"/>
      <c r="K781" s="352"/>
      <c r="L781" s="352"/>
      <c r="N781" s="205"/>
      <c r="O781" s="352"/>
      <c r="P781" s="363"/>
      <c r="R781" s="352"/>
    </row>
    <row r="782">
      <c r="B782" s="352"/>
      <c r="C782" s="352"/>
      <c r="E782" s="361"/>
      <c r="F782" s="362"/>
      <c r="G782" s="361"/>
      <c r="I782" s="349"/>
      <c r="K782" s="352"/>
      <c r="L782" s="352"/>
      <c r="N782" s="205"/>
      <c r="O782" s="352"/>
      <c r="P782" s="363"/>
      <c r="R782" s="352"/>
    </row>
    <row r="783">
      <c r="B783" s="352"/>
      <c r="C783" s="352"/>
      <c r="E783" s="361"/>
      <c r="F783" s="362"/>
      <c r="G783" s="361"/>
      <c r="I783" s="349"/>
      <c r="K783" s="352"/>
      <c r="L783" s="352"/>
      <c r="N783" s="205"/>
      <c r="O783" s="352"/>
      <c r="P783" s="363"/>
      <c r="R783" s="352"/>
    </row>
    <row r="784">
      <c r="B784" s="352"/>
      <c r="C784" s="352"/>
      <c r="E784" s="361"/>
      <c r="F784" s="362"/>
      <c r="G784" s="361"/>
      <c r="I784" s="349"/>
      <c r="K784" s="352"/>
      <c r="L784" s="352"/>
      <c r="N784" s="205"/>
      <c r="O784" s="352"/>
      <c r="P784" s="363"/>
      <c r="R784" s="352"/>
    </row>
    <row r="785">
      <c r="B785" s="352"/>
      <c r="C785" s="352"/>
      <c r="E785" s="361"/>
      <c r="F785" s="362"/>
      <c r="G785" s="361"/>
      <c r="I785" s="349"/>
      <c r="K785" s="352"/>
      <c r="L785" s="352"/>
      <c r="N785" s="205"/>
      <c r="O785" s="352"/>
      <c r="P785" s="363"/>
      <c r="R785" s="352"/>
    </row>
    <row r="786">
      <c r="B786" s="352"/>
      <c r="C786" s="352"/>
      <c r="E786" s="361"/>
      <c r="F786" s="362"/>
      <c r="G786" s="361"/>
      <c r="I786" s="349"/>
      <c r="K786" s="352"/>
      <c r="L786" s="352"/>
      <c r="N786" s="205"/>
      <c r="O786" s="352"/>
      <c r="P786" s="363"/>
      <c r="R786" s="352"/>
    </row>
    <row r="787">
      <c r="B787" s="352"/>
      <c r="C787" s="352"/>
      <c r="E787" s="361"/>
      <c r="F787" s="362"/>
      <c r="G787" s="361"/>
      <c r="I787" s="349"/>
      <c r="K787" s="352"/>
      <c r="L787" s="352"/>
      <c r="N787" s="205"/>
      <c r="O787" s="352"/>
      <c r="P787" s="363"/>
      <c r="R787" s="352"/>
    </row>
    <row r="788">
      <c r="B788" s="352"/>
      <c r="C788" s="352"/>
      <c r="E788" s="361"/>
      <c r="F788" s="362"/>
      <c r="G788" s="361"/>
      <c r="I788" s="349"/>
      <c r="K788" s="352"/>
      <c r="L788" s="352"/>
      <c r="N788" s="205"/>
      <c r="O788" s="352"/>
      <c r="P788" s="363"/>
      <c r="R788" s="352"/>
    </row>
    <row r="789">
      <c r="B789" s="352"/>
      <c r="C789" s="352"/>
      <c r="E789" s="361"/>
      <c r="F789" s="362"/>
      <c r="G789" s="361"/>
      <c r="I789" s="349"/>
      <c r="K789" s="352"/>
      <c r="L789" s="352"/>
      <c r="N789" s="205"/>
      <c r="O789" s="352"/>
      <c r="P789" s="363"/>
      <c r="R789" s="352"/>
    </row>
    <row r="790">
      <c r="B790" s="352"/>
      <c r="C790" s="352"/>
      <c r="E790" s="361"/>
      <c r="F790" s="362"/>
      <c r="G790" s="361"/>
      <c r="I790" s="349"/>
      <c r="K790" s="352"/>
      <c r="L790" s="352"/>
      <c r="N790" s="205"/>
      <c r="O790" s="352"/>
      <c r="P790" s="363"/>
      <c r="R790" s="352"/>
    </row>
    <row r="791">
      <c r="B791" s="352"/>
      <c r="C791" s="352"/>
      <c r="E791" s="361"/>
      <c r="F791" s="362"/>
      <c r="G791" s="361"/>
      <c r="I791" s="349"/>
      <c r="K791" s="352"/>
      <c r="L791" s="352"/>
      <c r="N791" s="205"/>
      <c r="O791" s="352"/>
      <c r="P791" s="363"/>
      <c r="R791" s="352"/>
    </row>
    <row r="792">
      <c r="B792" s="352"/>
      <c r="C792" s="352"/>
      <c r="E792" s="361"/>
      <c r="F792" s="362"/>
      <c r="G792" s="361"/>
      <c r="I792" s="349"/>
      <c r="K792" s="352"/>
      <c r="L792" s="352"/>
      <c r="N792" s="205"/>
      <c r="O792" s="352"/>
      <c r="P792" s="363"/>
      <c r="R792" s="352"/>
    </row>
    <row r="793">
      <c r="B793" s="352"/>
      <c r="C793" s="352"/>
      <c r="E793" s="361"/>
      <c r="F793" s="362"/>
      <c r="G793" s="361"/>
      <c r="I793" s="349"/>
      <c r="K793" s="352"/>
      <c r="L793" s="352"/>
      <c r="N793" s="205"/>
      <c r="O793" s="352"/>
      <c r="P793" s="363"/>
      <c r="R793" s="352"/>
    </row>
    <row r="794">
      <c r="B794" s="352"/>
      <c r="C794" s="352"/>
      <c r="E794" s="361"/>
      <c r="F794" s="362"/>
      <c r="G794" s="361"/>
      <c r="I794" s="349"/>
      <c r="K794" s="352"/>
      <c r="L794" s="352"/>
      <c r="N794" s="205"/>
      <c r="O794" s="352"/>
      <c r="P794" s="363"/>
      <c r="R794" s="352"/>
    </row>
    <row r="795">
      <c r="B795" s="352"/>
      <c r="C795" s="352"/>
      <c r="E795" s="361"/>
      <c r="F795" s="362"/>
      <c r="G795" s="361"/>
      <c r="I795" s="349"/>
      <c r="K795" s="352"/>
      <c r="L795" s="352"/>
      <c r="N795" s="205"/>
      <c r="O795" s="352"/>
      <c r="P795" s="363"/>
      <c r="R795" s="352"/>
    </row>
    <row r="796">
      <c r="B796" s="352"/>
      <c r="C796" s="352"/>
      <c r="E796" s="361"/>
      <c r="F796" s="362"/>
      <c r="G796" s="361"/>
      <c r="I796" s="349"/>
      <c r="K796" s="352"/>
      <c r="L796" s="352"/>
      <c r="N796" s="205"/>
      <c r="O796" s="352"/>
      <c r="P796" s="363"/>
      <c r="R796" s="352"/>
    </row>
    <row r="797">
      <c r="B797" s="352"/>
      <c r="C797" s="352"/>
      <c r="E797" s="361"/>
      <c r="F797" s="362"/>
      <c r="G797" s="361"/>
      <c r="I797" s="349"/>
      <c r="K797" s="352"/>
      <c r="L797" s="352"/>
      <c r="N797" s="205"/>
      <c r="O797" s="352"/>
      <c r="P797" s="363"/>
      <c r="R797" s="352"/>
    </row>
    <row r="798">
      <c r="B798" s="352"/>
      <c r="C798" s="352"/>
      <c r="E798" s="361"/>
      <c r="F798" s="362"/>
      <c r="G798" s="361"/>
      <c r="I798" s="349"/>
      <c r="K798" s="352"/>
      <c r="L798" s="352"/>
      <c r="N798" s="205"/>
      <c r="O798" s="352"/>
      <c r="P798" s="363"/>
      <c r="R798" s="352"/>
    </row>
    <row r="799">
      <c r="B799" s="352"/>
      <c r="C799" s="352"/>
      <c r="E799" s="361"/>
      <c r="F799" s="362"/>
      <c r="G799" s="361"/>
      <c r="I799" s="349"/>
      <c r="K799" s="352"/>
      <c r="L799" s="352"/>
      <c r="N799" s="205"/>
      <c r="O799" s="352"/>
      <c r="P799" s="363"/>
      <c r="R799" s="352"/>
    </row>
    <row r="800">
      <c r="B800" s="352"/>
      <c r="C800" s="352"/>
      <c r="E800" s="361"/>
      <c r="F800" s="362"/>
      <c r="G800" s="361"/>
      <c r="I800" s="349"/>
      <c r="K800" s="352"/>
      <c r="L800" s="352"/>
      <c r="N800" s="205"/>
      <c r="O800" s="352"/>
      <c r="P800" s="363"/>
      <c r="R800" s="352"/>
    </row>
    <row r="801">
      <c r="B801" s="352"/>
      <c r="C801" s="352"/>
      <c r="E801" s="361"/>
      <c r="F801" s="362"/>
      <c r="G801" s="361"/>
      <c r="I801" s="349"/>
      <c r="K801" s="352"/>
      <c r="L801" s="352"/>
      <c r="N801" s="205"/>
      <c r="O801" s="352"/>
      <c r="P801" s="363"/>
      <c r="R801" s="352"/>
    </row>
    <row r="802">
      <c r="B802" s="352"/>
      <c r="C802" s="352"/>
      <c r="E802" s="361"/>
      <c r="F802" s="362"/>
      <c r="G802" s="361"/>
      <c r="I802" s="349"/>
      <c r="K802" s="352"/>
      <c r="L802" s="352"/>
      <c r="N802" s="205"/>
      <c r="O802" s="352"/>
      <c r="P802" s="363"/>
      <c r="R802" s="352"/>
    </row>
    <row r="803">
      <c r="B803" s="352"/>
      <c r="C803" s="352"/>
      <c r="E803" s="361"/>
      <c r="F803" s="362"/>
      <c r="G803" s="361"/>
      <c r="I803" s="349"/>
      <c r="K803" s="352"/>
      <c r="L803" s="352"/>
      <c r="N803" s="205"/>
      <c r="O803" s="352"/>
      <c r="P803" s="363"/>
      <c r="R803" s="352"/>
    </row>
    <row r="804">
      <c r="B804" s="352"/>
      <c r="C804" s="352"/>
      <c r="E804" s="361"/>
      <c r="F804" s="362"/>
      <c r="G804" s="361"/>
      <c r="I804" s="349"/>
      <c r="K804" s="352"/>
      <c r="L804" s="352"/>
      <c r="N804" s="205"/>
      <c r="O804" s="352"/>
      <c r="P804" s="363"/>
      <c r="R804" s="352"/>
    </row>
    <row r="805">
      <c r="B805" s="352"/>
      <c r="C805" s="352"/>
      <c r="E805" s="361"/>
      <c r="F805" s="362"/>
      <c r="G805" s="361"/>
      <c r="I805" s="349"/>
      <c r="K805" s="352"/>
      <c r="L805" s="352"/>
      <c r="N805" s="205"/>
      <c r="O805" s="352"/>
      <c r="P805" s="363"/>
      <c r="R805" s="352"/>
    </row>
    <row r="806">
      <c r="B806" s="352"/>
      <c r="C806" s="352"/>
      <c r="E806" s="361"/>
      <c r="F806" s="362"/>
      <c r="G806" s="361"/>
      <c r="I806" s="349"/>
      <c r="K806" s="352"/>
      <c r="L806" s="352"/>
      <c r="N806" s="205"/>
      <c r="O806" s="352"/>
      <c r="P806" s="363"/>
      <c r="R806" s="352"/>
    </row>
    <row r="807">
      <c r="B807" s="352"/>
      <c r="C807" s="352"/>
      <c r="E807" s="361"/>
      <c r="F807" s="362"/>
      <c r="G807" s="361"/>
      <c r="I807" s="349"/>
      <c r="K807" s="352"/>
      <c r="L807" s="352"/>
      <c r="N807" s="205"/>
      <c r="O807" s="352"/>
      <c r="P807" s="363"/>
      <c r="R807" s="352"/>
    </row>
    <row r="808">
      <c r="B808" s="352"/>
      <c r="C808" s="352"/>
      <c r="E808" s="361"/>
      <c r="F808" s="362"/>
      <c r="G808" s="361"/>
      <c r="I808" s="349"/>
      <c r="K808" s="352"/>
      <c r="L808" s="352"/>
      <c r="N808" s="205"/>
      <c r="O808" s="352"/>
      <c r="P808" s="363"/>
      <c r="R808" s="352"/>
    </row>
    <row r="809">
      <c r="B809" s="352"/>
      <c r="C809" s="352"/>
      <c r="E809" s="361"/>
      <c r="F809" s="362"/>
      <c r="G809" s="361"/>
      <c r="I809" s="349"/>
      <c r="K809" s="352"/>
      <c r="L809" s="352"/>
      <c r="N809" s="205"/>
      <c r="O809" s="352"/>
      <c r="P809" s="363"/>
      <c r="R809" s="352"/>
    </row>
    <row r="810">
      <c r="B810" s="352"/>
      <c r="C810" s="352"/>
      <c r="E810" s="361"/>
      <c r="F810" s="362"/>
      <c r="G810" s="361"/>
      <c r="I810" s="349"/>
      <c r="K810" s="352"/>
      <c r="L810" s="352"/>
      <c r="N810" s="205"/>
      <c r="O810" s="352"/>
      <c r="P810" s="363"/>
      <c r="R810" s="352"/>
    </row>
    <row r="811">
      <c r="B811" s="352"/>
      <c r="C811" s="352"/>
      <c r="E811" s="361"/>
      <c r="F811" s="362"/>
      <c r="G811" s="361"/>
      <c r="I811" s="349"/>
      <c r="K811" s="352"/>
      <c r="L811" s="352"/>
      <c r="N811" s="205"/>
      <c r="O811" s="352"/>
      <c r="P811" s="363"/>
      <c r="R811" s="352"/>
    </row>
    <row r="812">
      <c r="B812" s="352"/>
      <c r="C812" s="352"/>
      <c r="E812" s="361"/>
      <c r="F812" s="362"/>
      <c r="G812" s="361"/>
      <c r="I812" s="349"/>
      <c r="K812" s="352"/>
      <c r="L812" s="352"/>
      <c r="N812" s="205"/>
      <c r="O812" s="352"/>
      <c r="P812" s="363"/>
      <c r="R812" s="352"/>
    </row>
    <row r="813">
      <c r="B813" s="352"/>
      <c r="C813" s="352"/>
      <c r="E813" s="361"/>
      <c r="F813" s="362"/>
      <c r="G813" s="361"/>
      <c r="I813" s="349"/>
      <c r="K813" s="352"/>
      <c r="L813" s="352"/>
      <c r="N813" s="205"/>
      <c r="O813" s="352"/>
      <c r="P813" s="363"/>
      <c r="R813" s="352"/>
    </row>
    <row r="814">
      <c r="B814" s="352"/>
      <c r="C814" s="352"/>
      <c r="E814" s="361"/>
      <c r="F814" s="362"/>
      <c r="G814" s="361"/>
      <c r="I814" s="349"/>
      <c r="K814" s="352"/>
      <c r="L814" s="352"/>
      <c r="N814" s="205"/>
      <c r="O814" s="352"/>
      <c r="P814" s="363"/>
      <c r="R814" s="352"/>
    </row>
    <row r="815">
      <c r="B815" s="352"/>
      <c r="C815" s="352"/>
      <c r="E815" s="361"/>
      <c r="F815" s="362"/>
      <c r="G815" s="361"/>
      <c r="I815" s="349"/>
      <c r="K815" s="352"/>
      <c r="L815" s="352"/>
      <c r="N815" s="205"/>
      <c r="O815" s="352"/>
      <c r="P815" s="363"/>
      <c r="R815" s="352"/>
    </row>
    <row r="816">
      <c r="B816" s="352"/>
      <c r="C816" s="352"/>
      <c r="E816" s="361"/>
      <c r="F816" s="362"/>
      <c r="G816" s="361"/>
      <c r="I816" s="349"/>
      <c r="K816" s="352"/>
      <c r="L816" s="352"/>
      <c r="N816" s="205"/>
      <c r="O816" s="352"/>
      <c r="P816" s="363"/>
      <c r="R816" s="352"/>
    </row>
    <row r="817">
      <c r="B817" s="352"/>
      <c r="C817" s="352"/>
      <c r="E817" s="361"/>
      <c r="F817" s="362"/>
      <c r="G817" s="361"/>
      <c r="I817" s="349"/>
      <c r="K817" s="352"/>
      <c r="L817" s="352"/>
      <c r="N817" s="205"/>
      <c r="O817" s="352"/>
      <c r="P817" s="363"/>
      <c r="R817" s="352"/>
    </row>
    <row r="818">
      <c r="B818" s="352"/>
      <c r="C818" s="352"/>
      <c r="E818" s="361"/>
      <c r="F818" s="362"/>
      <c r="G818" s="361"/>
      <c r="I818" s="349"/>
      <c r="K818" s="352"/>
      <c r="L818" s="352"/>
      <c r="N818" s="205"/>
      <c r="O818" s="352"/>
      <c r="P818" s="363"/>
      <c r="R818" s="352"/>
    </row>
    <row r="819">
      <c r="B819" s="352"/>
      <c r="C819" s="352"/>
      <c r="E819" s="361"/>
      <c r="F819" s="362"/>
      <c r="G819" s="361"/>
      <c r="I819" s="349"/>
      <c r="K819" s="352"/>
      <c r="L819" s="352"/>
      <c r="N819" s="205"/>
      <c r="O819" s="352"/>
      <c r="P819" s="363"/>
      <c r="R819" s="352"/>
    </row>
    <row r="820">
      <c r="B820" s="352"/>
      <c r="C820" s="352"/>
      <c r="E820" s="361"/>
      <c r="F820" s="362"/>
      <c r="G820" s="361"/>
      <c r="I820" s="349"/>
      <c r="K820" s="352"/>
      <c r="L820" s="352"/>
      <c r="N820" s="205"/>
      <c r="O820" s="352"/>
      <c r="P820" s="363"/>
      <c r="R820" s="352"/>
    </row>
    <row r="821">
      <c r="B821" s="352"/>
      <c r="C821" s="352"/>
      <c r="E821" s="361"/>
      <c r="F821" s="362"/>
      <c r="G821" s="361"/>
      <c r="I821" s="349"/>
      <c r="K821" s="352"/>
      <c r="L821" s="352"/>
      <c r="N821" s="205"/>
      <c r="O821" s="352"/>
      <c r="P821" s="363"/>
      <c r="R821" s="352"/>
    </row>
    <row r="822">
      <c r="B822" s="352"/>
      <c r="C822" s="352"/>
      <c r="E822" s="361"/>
      <c r="F822" s="362"/>
      <c r="G822" s="361"/>
      <c r="I822" s="349"/>
      <c r="K822" s="352"/>
      <c r="L822" s="352"/>
      <c r="N822" s="205"/>
      <c r="O822" s="352"/>
      <c r="P822" s="363"/>
      <c r="R822" s="352"/>
    </row>
    <row r="823">
      <c r="B823" s="352"/>
      <c r="C823" s="352"/>
      <c r="E823" s="361"/>
      <c r="F823" s="362"/>
      <c r="G823" s="361"/>
      <c r="I823" s="349"/>
      <c r="K823" s="352"/>
      <c r="L823" s="352"/>
      <c r="N823" s="205"/>
      <c r="O823" s="352"/>
      <c r="P823" s="363"/>
      <c r="R823" s="352"/>
    </row>
    <row r="824">
      <c r="B824" s="352"/>
      <c r="C824" s="352"/>
      <c r="E824" s="361"/>
      <c r="F824" s="362"/>
      <c r="G824" s="361"/>
      <c r="I824" s="349"/>
      <c r="K824" s="352"/>
      <c r="L824" s="352"/>
      <c r="N824" s="205"/>
      <c r="O824" s="352"/>
      <c r="P824" s="363"/>
      <c r="R824" s="352"/>
    </row>
    <row r="825">
      <c r="B825" s="352"/>
      <c r="C825" s="352"/>
      <c r="E825" s="361"/>
      <c r="F825" s="362"/>
      <c r="G825" s="361"/>
      <c r="I825" s="349"/>
      <c r="K825" s="352"/>
      <c r="L825" s="352"/>
      <c r="N825" s="205"/>
      <c r="O825" s="352"/>
      <c r="P825" s="363"/>
      <c r="R825" s="352"/>
    </row>
    <row r="826">
      <c r="B826" s="352"/>
      <c r="C826" s="352"/>
      <c r="E826" s="361"/>
      <c r="F826" s="362"/>
      <c r="G826" s="361"/>
      <c r="I826" s="349"/>
      <c r="K826" s="352"/>
      <c r="L826" s="352"/>
      <c r="N826" s="205"/>
      <c r="O826" s="352"/>
      <c r="P826" s="363"/>
      <c r="R826" s="352"/>
    </row>
    <row r="827">
      <c r="B827" s="352"/>
      <c r="C827" s="352"/>
      <c r="E827" s="361"/>
      <c r="F827" s="362"/>
      <c r="G827" s="361"/>
      <c r="I827" s="349"/>
      <c r="K827" s="352"/>
      <c r="L827" s="352"/>
      <c r="N827" s="205"/>
      <c r="O827" s="352"/>
      <c r="P827" s="363"/>
      <c r="R827" s="352"/>
    </row>
    <row r="828">
      <c r="B828" s="352"/>
      <c r="C828" s="352"/>
      <c r="E828" s="361"/>
      <c r="F828" s="362"/>
      <c r="G828" s="361"/>
      <c r="I828" s="349"/>
      <c r="K828" s="352"/>
      <c r="L828" s="352"/>
      <c r="N828" s="205"/>
      <c r="O828" s="352"/>
      <c r="P828" s="363"/>
      <c r="R828" s="352"/>
    </row>
    <row r="829">
      <c r="B829" s="352"/>
      <c r="C829" s="352"/>
      <c r="E829" s="361"/>
      <c r="F829" s="362"/>
      <c r="G829" s="361"/>
      <c r="I829" s="349"/>
      <c r="K829" s="352"/>
      <c r="L829" s="352"/>
      <c r="N829" s="205"/>
      <c r="O829" s="352"/>
      <c r="P829" s="363"/>
      <c r="R829" s="352"/>
    </row>
    <row r="830">
      <c r="B830" s="352"/>
      <c r="C830" s="352"/>
      <c r="E830" s="361"/>
      <c r="F830" s="362"/>
      <c r="G830" s="361"/>
      <c r="I830" s="349"/>
      <c r="K830" s="352"/>
      <c r="L830" s="352"/>
      <c r="N830" s="205"/>
      <c r="O830" s="352"/>
      <c r="P830" s="363"/>
      <c r="R830" s="352"/>
    </row>
    <row r="831">
      <c r="B831" s="352"/>
      <c r="C831" s="352"/>
      <c r="E831" s="361"/>
      <c r="F831" s="362"/>
      <c r="G831" s="361"/>
      <c r="I831" s="349"/>
      <c r="K831" s="352"/>
      <c r="L831" s="352"/>
      <c r="N831" s="205"/>
      <c r="O831" s="352"/>
      <c r="P831" s="363"/>
      <c r="R831" s="352"/>
    </row>
    <row r="832">
      <c r="B832" s="352"/>
      <c r="C832" s="352"/>
      <c r="E832" s="361"/>
      <c r="F832" s="362"/>
      <c r="G832" s="361"/>
      <c r="I832" s="349"/>
      <c r="K832" s="352"/>
      <c r="L832" s="352"/>
      <c r="N832" s="205"/>
      <c r="O832" s="352"/>
      <c r="P832" s="363"/>
      <c r="R832" s="352"/>
    </row>
    <row r="833">
      <c r="B833" s="352"/>
      <c r="C833" s="352"/>
      <c r="E833" s="361"/>
      <c r="F833" s="362"/>
      <c r="G833" s="361"/>
      <c r="I833" s="349"/>
      <c r="K833" s="352"/>
      <c r="L833" s="352"/>
      <c r="N833" s="205"/>
      <c r="O833" s="352"/>
      <c r="P833" s="363"/>
      <c r="R833" s="352"/>
    </row>
    <row r="834">
      <c r="B834" s="352"/>
      <c r="C834" s="352"/>
      <c r="E834" s="361"/>
      <c r="F834" s="362"/>
      <c r="G834" s="361"/>
      <c r="I834" s="349"/>
      <c r="K834" s="352"/>
      <c r="L834" s="352"/>
      <c r="N834" s="205"/>
      <c r="O834" s="352"/>
      <c r="P834" s="363"/>
      <c r="R834" s="352"/>
    </row>
    <row r="835">
      <c r="B835" s="352"/>
      <c r="C835" s="352"/>
      <c r="E835" s="361"/>
      <c r="F835" s="362"/>
      <c r="G835" s="361"/>
      <c r="I835" s="349"/>
      <c r="K835" s="352"/>
      <c r="L835" s="352"/>
      <c r="N835" s="205"/>
      <c r="O835" s="352"/>
      <c r="P835" s="363"/>
      <c r="R835" s="352"/>
    </row>
    <row r="836">
      <c r="B836" s="352"/>
      <c r="C836" s="352"/>
      <c r="E836" s="361"/>
      <c r="F836" s="362"/>
      <c r="G836" s="361"/>
      <c r="I836" s="349"/>
      <c r="K836" s="352"/>
      <c r="L836" s="352"/>
      <c r="N836" s="205"/>
      <c r="O836" s="352"/>
      <c r="P836" s="363"/>
      <c r="R836" s="352"/>
    </row>
    <row r="837">
      <c r="B837" s="352"/>
      <c r="C837" s="352"/>
      <c r="E837" s="361"/>
      <c r="F837" s="362"/>
      <c r="G837" s="361"/>
      <c r="I837" s="349"/>
      <c r="K837" s="352"/>
      <c r="L837" s="352"/>
      <c r="N837" s="205"/>
      <c r="O837" s="352"/>
      <c r="P837" s="363"/>
      <c r="R837" s="352"/>
    </row>
    <row r="838">
      <c r="B838" s="352"/>
      <c r="C838" s="352"/>
      <c r="E838" s="361"/>
      <c r="F838" s="362"/>
      <c r="G838" s="361"/>
      <c r="I838" s="349"/>
      <c r="K838" s="352"/>
      <c r="L838" s="352"/>
      <c r="N838" s="205"/>
      <c r="O838" s="352"/>
      <c r="P838" s="363"/>
      <c r="R838" s="352"/>
    </row>
    <row r="839">
      <c r="B839" s="352"/>
      <c r="C839" s="352"/>
      <c r="E839" s="361"/>
      <c r="F839" s="362"/>
      <c r="G839" s="361"/>
      <c r="I839" s="349"/>
      <c r="K839" s="352"/>
      <c r="L839" s="352"/>
      <c r="N839" s="205"/>
      <c r="O839" s="352"/>
      <c r="P839" s="363"/>
      <c r="R839" s="352"/>
    </row>
    <row r="840">
      <c r="B840" s="352"/>
      <c r="C840" s="352"/>
      <c r="E840" s="361"/>
      <c r="F840" s="362"/>
      <c r="G840" s="361"/>
      <c r="I840" s="349"/>
      <c r="K840" s="352"/>
      <c r="L840" s="352"/>
      <c r="N840" s="205"/>
      <c r="O840" s="352"/>
      <c r="P840" s="363"/>
      <c r="R840" s="352"/>
    </row>
    <row r="841">
      <c r="B841" s="352"/>
      <c r="C841" s="352"/>
      <c r="E841" s="361"/>
      <c r="F841" s="362"/>
      <c r="G841" s="361"/>
      <c r="I841" s="349"/>
      <c r="K841" s="352"/>
      <c r="L841" s="352"/>
      <c r="N841" s="205"/>
      <c r="O841" s="352"/>
      <c r="P841" s="363"/>
      <c r="R841" s="352"/>
    </row>
    <row r="842">
      <c r="B842" s="352"/>
      <c r="C842" s="352"/>
      <c r="E842" s="361"/>
      <c r="F842" s="362"/>
      <c r="G842" s="361"/>
      <c r="I842" s="349"/>
      <c r="K842" s="352"/>
      <c r="L842" s="352"/>
      <c r="N842" s="205"/>
      <c r="O842" s="352"/>
      <c r="P842" s="363"/>
      <c r="R842" s="352"/>
    </row>
    <row r="843">
      <c r="B843" s="352"/>
      <c r="C843" s="352"/>
      <c r="E843" s="361"/>
      <c r="F843" s="362"/>
      <c r="G843" s="361"/>
      <c r="I843" s="349"/>
      <c r="K843" s="352"/>
      <c r="L843" s="352"/>
      <c r="N843" s="205"/>
      <c r="O843" s="352"/>
      <c r="P843" s="363"/>
      <c r="R843" s="352"/>
    </row>
    <row r="844">
      <c r="B844" s="352"/>
      <c r="C844" s="352"/>
      <c r="E844" s="361"/>
      <c r="F844" s="362"/>
      <c r="G844" s="361"/>
      <c r="I844" s="349"/>
      <c r="K844" s="352"/>
      <c r="L844" s="352"/>
      <c r="N844" s="205"/>
      <c r="O844" s="352"/>
      <c r="P844" s="363"/>
      <c r="R844" s="352"/>
    </row>
    <row r="845">
      <c r="B845" s="352"/>
      <c r="C845" s="352"/>
      <c r="E845" s="361"/>
      <c r="F845" s="362"/>
      <c r="G845" s="361"/>
      <c r="I845" s="349"/>
      <c r="K845" s="352"/>
      <c r="L845" s="352"/>
      <c r="N845" s="205"/>
      <c r="O845" s="352"/>
      <c r="P845" s="363"/>
      <c r="R845" s="352"/>
    </row>
    <row r="846">
      <c r="B846" s="352"/>
      <c r="C846" s="352"/>
      <c r="E846" s="361"/>
      <c r="F846" s="362"/>
      <c r="G846" s="361"/>
      <c r="I846" s="349"/>
      <c r="K846" s="352"/>
      <c r="L846" s="352"/>
      <c r="N846" s="205"/>
      <c r="O846" s="352"/>
      <c r="P846" s="363"/>
      <c r="R846" s="352"/>
    </row>
    <row r="847">
      <c r="B847" s="352"/>
      <c r="C847" s="352"/>
      <c r="E847" s="361"/>
      <c r="F847" s="362"/>
      <c r="G847" s="361"/>
      <c r="I847" s="349"/>
      <c r="K847" s="352"/>
      <c r="L847" s="352"/>
      <c r="N847" s="205"/>
      <c r="O847" s="352"/>
      <c r="P847" s="363"/>
      <c r="R847" s="352"/>
    </row>
    <row r="848">
      <c r="B848" s="352"/>
      <c r="C848" s="352"/>
      <c r="E848" s="361"/>
      <c r="F848" s="362"/>
      <c r="G848" s="361"/>
      <c r="I848" s="349"/>
      <c r="K848" s="352"/>
      <c r="L848" s="352"/>
      <c r="N848" s="205"/>
      <c r="O848" s="352"/>
      <c r="P848" s="363"/>
      <c r="R848" s="352"/>
    </row>
    <row r="849">
      <c r="B849" s="352"/>
      <c r="C849" s="352"/>
      <c r="E849" s="361"/>
      <c r="F849" s="362"/>
      <c r="G849" s="361"/>
      <c r="I849" s="349"/>
      <c r="K849" s="352"/>
      <c r="L849" s="352"/>
      <c r="N849" s="205"/>
      <c r="O849" s="352"/>
      <c r="P849" s="363"/>
      <c r="R849" s="352"/>
    </row>
    <row r="850">
      <c r="B850" s="352"/>
      <c r="C850" s="352"/>
      <c r="E850" s="361"/>
      <c r="F850" s="362"/>
      <c r="G850" s="361"/>
      <c r="I850" s="349"/>
      <c r="K850" s="352"/>
      <c r="L850" s="352"/>
      <c r="N850" s="205"/>
      <c r="O850" s="352"/>
      <c r="P850" s="363"/>
      <c r="R850" s="352"/>
    </row>
    <row r="851">
      <c r="B851" s="352"/>
      <c r="C851" s="352"/>
      <c r="E851" s="361"/>
      <c r="F851" s="362"/>
      <c r="G851" s="361"/>
      <c r="I851" s="349"/>
      <c r="K851" s="352"/>
      <c r="L851" s="352"/>
      <c r="N851" s="205"/>
      <c r="O851" s="352"/>
      <c r="P851" s="363"/>
      <c r="R851" s="352"/>
    </row>
    <row r="852">
      <c r="B852" s="352"/>
      <c r="C852" s="352"/>
      <c r="E852" s="361"/>
      <c r="F852" s="362"/>
      <c r="G852" s="361"/>
      <c r="I852" s="349"/>
      <c r="K852" s="352"/>
      <c r="L852" s="352"/>
      <c r="N852" s="205"/>
      <c r="O852" s="352"/>
      <c r="P852" s="363"/>
      <c r="R852" s="352"/>
    </row>
    <row r="853">
      <c r="B853" s="352"/>
      <c r="C853" s="352"/>
      <c r="E853" s="361"/>
      <c r="F853" s="362"/>
      <c r="G853" s="361"/>
      <c r="I853" s="349"/>
      <c r="K853" s="352"/>
      <c r="L853" s="352"/>
      <c r="N853" s="205"/>
      <c r="O853" s="352"/>
      <c r="P853" s="363"/>
      <c r="R853" s="352"/>
    </row>
    <row r="854">
      <c r="B854" s="352"/>
      <c r="C854" s="352"/>
      <c r="E854" s="361"/>
      <c r="F854" s="362"/>
      <c r="G854" s="361"/>
      <c r="I854" s="349"/>
      <c r="K854" s="352"/>
      <c r="L854" s="352"/>
      <c r="N854" s="205"/>
      <c r="O854" s="352"/>
      <c r="P854" s="363"/>
      <c r="R854" s="352"/>
    </row>
    <row r="855">
      <c r="B855" s="352"/>
      <c r="C855" s="352"/>
      <c r="E855" s="361"/>
      <c r="F855" s="362"/>
      <c r="G855" s="361"/>
      <c r="I855" s="349"/>
      <c r="K855" s="352"/>
      <c r="L855" s="352"/>
      <c r="N855" s="205"/>
      <c r="O855" s="352"/>
      <c r="P855" s="363"/>
      <c r="R855" s="352"/>
    </row>
    <row r="856">
      <c r="B856" s="352"/>
      <c r="C856" s="352"/>
      <c r="E856" s="361"/>
      <c r="F856" s="362"/>
      <c r="G856" s="361"/>
      <c r="I856" s="349"/>
      <c r="K856" s="352"/>
      <c r="L856" s="352"/>
      <c r="N856" s="205"/>
      <c r="O856" s="352"/>
      <c r="P856" s="363"/>
      <c r="R856" s="352"/>
    </row>
    <row r="857">
      <c r="B857" s="352"/>
      <c r="C857" s="352"/>
      <c r="E857" s="361"/>
      <c r="F857" s="362"/>
      <c r="G857" s="361"/>
      <c r="I857" s="349"/>
      <c r="K857" s="352"/>
      <c r="L857" s="352"/>
      <c r="N857" s="205"/>
      <c r="O857" s="352"/>
      <c r="P857" s="363"/>
      <c r="R857" s="352"/>
    </row>
    <row r="858">
      <c r="B858" s="352"/>
      <c r="C858" s="352"/>
      <c r="E858" s="361"/>
      <c r="F858" s="362"/>
      <c r="G858" s="361"/>
      <c r="I858" s="349"/>
      <c r="K858" s="352"/>
      <c r="L858" s="352"/>
      <c r="N858" s="205"/>
      <c r="O858" s="352"/>
      <c r="P858" s="363"/>
      <c r="R858" s="352"/>
    </row>
    <row r="859">
      <c r="B859" s="352"/>
      <c r="C859" s="352"/>
      <c r="E859" s="361"/>
      <c r="F859" s="362"/>
      <c r="G859" s="361"/>
      <c r="I859" s="349"/>
      <c r="K859" s="352"/>
      <c r="L859" s="352"/>
      <c r="N859" s="205"/>
      <c r="O859" s="352"/>
      <c r="P859" s="363"/>
      <c r="R859" s="352"/>
    </row>
    <row r="860">
      <c r="B860" s="352"/>
      <c r="C860" s="352"/>
      <c r="E860" s="361"/>
      <c r="F860" s="362"/>
      <c r="G860" s="361"/>
      <c r="I860" s="349"/>
      <c r="K860" s="352"/>
      <c r="L860" s="352"/>
      <c r="N860" s="205"/>
      <c r="O860" s="352"/>
      <c r="P860" s="363"/>
      <c r="R860" s="352"/>
    </row>
    <row r="861">
      <c r="B861" s="352"/>
      <c r="C861" s="352"/>
      <c r="E861" s="361"/>
      <c r="F861" s="362"/>
      <c r="G861" s="361"/>
      <c r="I861" s="349"/>
      <c r="K861" s="352"/>
      <c r="L861" s="352"/>
      <c r="N861" s="205"/>
      <c r="O861" s="352"/>
      <c r="P861" s="363"/>
      <c r="R861" s="352"/>
    </row>
    <row r="862">
      <c r="B862" s="352"/>
      <c r="C862" s="352"/>
      <c r="E862" s="361"/>
      <c r="F862" s="362"/>
      <c r="G862" s="361"/>
      <c r="I862" s="349"/>
      <c r="K862" s="352"/>
      <c r="L862" s="352"/>
      <c r="N862" s="205"/>
      <c r="O862" s="352"/>
      <c r="P862" s="363"/>
      <c r="R862" s="352"/>
    </row>
    <row r="863">
      <c r="B863" s="352"/>
      <c r="C863" s="352"/>
      <c r="E863" s="361"/>
      <c r="F863" s="362"/>
      <c r="G863" s="361"/>
      <c r="I863" s="349"/>
      <c r="K863" s="352"/>
      <c r="L863" s="352"/>
      <c r="N863" s="205"/>
      <c r="O863" s="352"/>
      <c r="P863" s="363"/>
      <c r="R863" s="352"/>
    </row>
    <row r="864">
      <c r="B864" s="352"/>
      <c r="C864" s="352"/>
      <c r="E864" s="361"/>
      <c r="F864" s="362"/>
      <c r="G864" s="361"/>
      <c r="I864" s="349"/>
      <c r="K864" s="352"/>
      <c r="L864" s="352"/>
      <c r="N864" s="205"/>
      <c r="O864" s="352"/>
      <c r="P864" s="363"/>
      <c r="R864" s="352"/>
    </row>
    <row r="865">
      <c r="B865" s="352"/>
      <c r="C865" s="352"/>
      <c r="E865" s="361"/>
      <c r="F865" s="362"/>
      <c r="G865" s="361"/>
      <c r="I865" s="349"/>
      <c r="K865" s="352"/>
      <c r="L865" s="352"/>
      <c r="N865" s="205"/>
      <c r="O865" s="352"/>
      <c r="P865" s="363"/>
      <c r="R865" s="352"/>
    </row>
    <row r="866">
      <c r="B866" s="352"/>
      <c r="C866" s="352"/>
      <c r="E866" s="361"/>
      <c r="F866" s="362"/>
      <c r="G866" s="361"/>
      <c r="I866" s="349"/>
      <c r="K866" s="352"/>
      <c r="L866" s="352"/>
      <c r="N866" s="205"/>
      <c r="O866" s="352"/>
      <c r="P866" s="363"/>
      <c r="R866" s="352"/>
    </row>
    <row r="867">
      <c r="B867" s="352"/>
      <c r="C867" s="352"/>
      <c r="E867" s="361"/>
      <c r="F867" s="362"/>
      <c r="G867" s="361"/>
      <c r="I867" s="349"/>
      <c r="K867" s="352"/>
      <c r="L867" s="352"/>
      <c r="N867" s="205"/>
      <c r="O867" s="352"/>
      <c r="P867" s="363"/>
      <c r="R867" s="352"/>
    </row>
    <row r="868">
      <c r="B868" s="352"/>
      <c r="C868" s="352"/>
      <c r="E868" s="361"/>
      <c r="F868" s="362"/>
      <c r="G868" s="361"/>
      <c r="I868" s="349"/>
      <c r="K868" s="352"/>
      <c r="L868" s="352"/>
      <c r="N868" s="205"/>
      <c r="O868" s="352"/>
      <c r="P868" s="363"/>
      <c r="R868" s="352"/>
    </row>
    <row r="869">
      <c r="B869" s="352"/>
      <c r="C869" s="352"/>
      <c r="E869" s="361"/>
      <c r="F869" s="362"/>
      <c r="G869" s="361"/>
      <c r="I869" s="349"/>
      <c r="K869" s="352"/>
      <c r="L869" s="352"/>
      <c r="N869" s="205"/>
      <c r="O869" s="352"/>
      <c r="P869" s="363"/>
      <c r="R869" s="352"/>
    </row>
    <row r="870">
      <c r="B870" s="352"/>
      <c r="C870" s="352"/>
      <c r="E870" s="361"/>
      <c r="F870" s="362"/>
      <c r="G870" s="361"/>
      <c r="I870" s="349"/>
      <c r="K870" s="352"/>
      <c r="L870" s="352"/>
      <c r="N870" s="205"/>
      <c r="O870" s="352"/>
      <c r="P870" s="363"/>
      <c r="R870" s="352"/>
    </row>
    <row r="871">
      <c r="B871" s="352"/>
      <c r="C871" s="352"/>
      <c r="E871" s="361"/>
      <c r="F871" s="362"/>
      <c r="G871" s="361"/>
      <c r="I871" s="349"/>
      <c r="K871" s="352"/>
      <c r="L871" s="352"/>
      <c r="N871" s="205"/>
      <c r="O871" s="352"/>
      <c r="P871" s="363"/>
      <c r="R871" s="352"/>
    </row>
    <row r="872">
      <c r="B872" s="352"/>
      <c r="C872" s="352"/>
      <c r="E872" s="361"/>
      <c r="F872" s="362"/>
      <c r="G872" s="361"/>
      <c r="I872" s="349"/>
      <c r="K872" s="352"/>
      <c r="L872" s="352"/>
      <c r="N872" s="205"/>
      <c r="O872" s="352"/>
      <c r="P872" s="363"/>
      <c r="R872" s="352"/>
    </row>
    <row r="873">
      <c r="B873" s="352"/>
      <c r="C873" s="352"/>
      <c r="E873" s="361"/>
      <c r="F873" s="362"/>
      <c r="G873" s="361"/>
      <c r="I873" s="349"/>
      <c r="K873" s="352"/>
      <c r="L873" s="352"/>
      <c r="N873" s="205"/>
      <c r="O873" s="352"/>
      <c r="P873" s="363"/>
      <c r="R873" s="352"/>
    </row>
    <row r="874">
      <c r="B874" s="352"/>
      <c r="C874" s="352"/>
      <c r="E874" s="361"/>
      <c r="F874" s="362"/>
      <c r="G874" s="361"/>
      <c r="I874" s="349"/>
      <c r="K874" s="352"/>
      <c r="L874" s="352"/>
      <c r="N874" s="205"/>
      <c r="O874" s="352"/>
      <c r="P874" s="363"/>
      <c r="R874" s="352"/>
    </row>
    <row r="875">
      <c r="B875" s="352"/>
      <c r="C875" s="352"/>
      <c r="E875" s="361"/>
      <c r="F875" s="362"/>
      <c r="G875" s="361"/>
      <c r="I875" s="349"/>
      <c r="K875" s="352"/>
      <c r="L875" s="352"/>
      <c r="N875" s="205"/>
      <c r="O875" s="352"/>
      <c r="P875" s="363"/>
      <c r="R875" s="352"/>
    </row>
    <row r="876">
      <c r="B876" s="352"/>
      <c r="C876" s="352"/>
      <c r="E876" s="361"/>
      <c r="F876" s="362"/>
      <c r="G876" s="361"/>
      <c r="I876" s="349"/>
      <c r="K876" s="352"/>
      <c r="L876" s="352"/>
      <c r="N876" s="205"/>
      <c r="O876" s="352"/>
      <c r="P876" s="363"/>
      <c r="R876" s="352"/>
    </row>
    <row r="877">
      <c r="B877" s="352"/>
      <c r="C877" s="352"/>
      <c r="E877" s="361"/>
      <c r="F877" s="362"/>
      <c r="G877" s="361"/>
      <c r="I877" s="349"/>
      <c r="K877" s="352"/>
      <c r="L877" s="352"/>
      <c r="N877" s="205"/>
      <c r="O877" s="352"/>
      <c r="P877" s="363"/>
      <c r="R877" s="352"/>
    </row>
    <row r="878">
      <c r="B878" s="352"/>
      <c r="C878" s="352"/>
      <c r="E878" s="361"/>
      <c r="F878" s="362"/>
      <c r="G878" s="361"/>
      <c r="I878" s="349"/>
      <c r="K878" s="352"/>
      <c r="L878" s="352"/>
      <c r="N878" s="205"/>
      <c r="O878" s="352"/>
      <c r="P878" s="363"/>
      <c r="R878" s="352"/>
    </row>
    <row r="879">
      <c r="B879" s="352"/>
      <c r="C879" s="352"/>
      <c r="E879" s="361"/>
      <c r="F879" s="362"/>
      <c r="G879" s="361"/>
      <c r="I879" s="349"/>
      <c r="K879" s="352"/>
      <c r="L879" s="352"/>
      <c r="N879" s="205"/>
      <c r="O879" s="352"/>
      <c r="P879" s="363"/>
      <c r="R879" s="352"/>
    </row>
    <row r="880">
      <c r="B880" s="352"/>
      <c r="C880" s="352"/>
      <c r="E880" s="361"/>
      <c r="F880" s="362"/>
      <c r="G880" s="361"/>
      <c r="I880" s="349"/>
      <c r="K880" s="352"/>
      <c r="L880" s="352"/>
      <c r="N880" s="205"/>
      <c r="O880" s="352"/>
      <c r="P880" s="363"/>
      <c r="R880" s="352"/>
    </row>
    <row r="881">
      <c r="B881" s="352"/>
      <c r="C881" s="352"/>
      <c r="E881" s="361"/>
      <c r="F881" s="362"/>
      <c r="G881" s="361"/>
      <c r="I881" s="349"/>
      <c r="K881" s="352"/>
      <c r="L881" s="352"/>
      <c r="N881" s="205"/>
      <c r="O881" s="352"/>
      <c r="P881" s="363"/>
      <c r="R881" s="352"/>
    </row>
    <row r="882">
      <c r="B882" s="352"/>
      <c r="C882" s="352"/>
      <c r="E882" s="361"/>
      <c r="F882" s="362"/>
      <c r="G882" s="361"/>
      <c r="I882" s="349"/>
      <c r="K882" s="352"/>
      <c r="L882" s="352"/>
      <c r="N882" s="205"/>
      <c r="O882" s="352"/>
      <c r="P882" s="363"/>
      <c r="R882" s="352"/>
    </row>
    <row r="883">
      <c r="B883" s="352"/>
      <c r="C883" s="352"/>
      <c r="E883" s="361"/>
      <c r="F883" s="362"/>
      <c r="G883" s="361"/>
      <c r="I883" s="349"/>
      <c r="K883" s="352"/>
      <c r="L883" s="352"/>
      <c r="N883" s="205"/>
      <c r="O883" s="352"/>
      <c r="P883" s="363"/>
      <c r="R883" s="352"/>
    </row>
    <row r="884">
      <c r="B884" s="352"/>
      <c r="C884" s="352"/>
      <c r="E884" s="361"/>
      <c r="F884" s="362"/>
      <c r="G884" s="361"/>
      <c r="I884" s="349"/>
      <c r="K884" s="352"/>
      <c r="L884" s="352"/>
      <c r="N884" s="205"/>
      <c r="O884" s="352"/>
      <c r="P884" s="363"/>
      <c r="R884" s="352"/>
    </row>
    <row r="885">
      <c r="B885" s="352"/>
      <c r="C885" s="352"/>
      <c r="E885" s="361"/>
      <c r="F885" s="362"/>
      <c r="G885" s="361"/>
      <c r="I885" s="349"/>
      <c r="K885" s="352"/>
      <c r="L885" s="352"/>
      <c r="N885" s="205"/>
      <c r="O885" s="352"/>
      <c r="P885" s="363"/>
      <c r="R885" s="352"/>
    </row>
    <row r="886">
      <c r="B886" s="352"/>
      <c r="C886" s="352"/>
      <c r="E886" s="361"/>
      <c r="F886" s="362"/>
      <c r="G886" s="361"/>
      <c r="I886" s="349"/>
      <c r="K886" s="352"/>
      <c r="L886" s="352"/>
      <c r="N886" s="205"/>
      <c r="O886" s="352"/>
      <c r="P886" s="363"/>
      <c r="R886" s="352"/>
    </row>
    <row r="887">
      <c r="B887" s="352"/>
      <c r="C887" s="352"/>
      <c r="E887" s="361"/>
      <c r="F887" s="362"/>
      <c r="G887" s="361"/>
      <c r="I887" s="349"/>
      <c r="K887" s="352"/>
      <c r="L887" s="352"/>
      <c r="N887" s="205"/>
      <c r="O887" s="352"/>
      <c r="P887" s="363"/>
      <c r="R887" s="352"/>
    </row>
    <row r="888">
      <c r="B888" s="352"/>
      <c r="C888" s="352"/>
      <c r="E888" s="361"/>
      <c r="F888" s="362"/>
      <c r="G888" s="361"/>
      <c r="I888" s="349"/>
      <c r="K888" s="352"/>
      <c r="L888" s="352"/>
      <c r="N888" s="205"/>
      <c r="O888" s="352"/>
      <c r="P888" s="363"/>
      <c r="R888" s="352"/>
    </row>
    <row r="889">
      <c r="B889" s="352"/>
      <c r="C889" s="352"/>
      <c r="E889" s="361"/>
      <c r="F889" s="362"/>
      <c r="G889" s="361"/>
      <c r="I889" s="349"/>
      <c r="K889" s="352"/>
      <c r="L889" s="352"/>
      <c r="N889" s="205"/>
      <c r="O889" s="352"/>
      <c r="P889" s="363"/>
      <c r="R889" s="352"/>
    </row>
    <row r="890">
      <c r="B890" s="352"/>
      <c r="C890" s="352"/>
      <c r="E890" s="361"/>
      <c r="F890" s="362"/>
      <c r="G890" s="361"/>
      <c r="I890" s="349"/>
      <c r="K890" s="352"/>
      <c r="L890" s="352"/>
      <c r="N890" s="205"/>
      <c r="O890" s="352"/>
      <c r="P890" s="363"/>
      <c r="R890" s="352"/>
    </row>
    <row r="891">
      <c r="B891" s="352"/>
      <c r="C891" s="352"/>
      <c r="E891" s="361"/>
      <c r="F891" s="362"/>
      <c r="G891" s="361"/>
      <c r="I891" s="349"/>
      <c r="K891" s="352"/>
      <c r="L891" s="352"/>
      <c r="N891" s="205"/>
      <c r="O891" s="352"/>
      <c r="P891" s="363"/>
      <c r="R891" s="352"/>
    </row>
    <row r="892">
      <c r="B892" s="352"/>
      <c r="C892" s="352"/>
      <c r="E892" s="361"/>
      <c r="F892" s="362"/>
      <c r="G892" s="361"/>
      <c r="I892" s="349"/>
      <c r="K892" s="352"/>
      <c r="L892" s="352"/>
      <c r="N892" s="205"/>
      <c r="O892" s="352"/>
      <c r="P892" s="363"/>
      <c r="R892" s="352"/>
    </row>
    <row r="893">
      <c r="B893" s="352"/>
      <c r="C893" s="352"/>
      <c r="E893" s="361"/>
      <c r="F893" s="362"/>
      <c r="G893" s="361"/>
      <c r="I893" s="349"/>
      <c r="K893" s="352"/>
      <c r="L893" s="352"/>
      <c r="N893" s="205"/>
      <c r="O893" s="352"/>
      <c r="P893" s="363"/>
      <c r="R893" s="352"/>
    </row>
    <row r="894">
      <c r="B894" s="352"/>
      <c r="C894" s="352"/>
      <c r="E894" s="361"/>
      <c r="F894" s="362"/>
      <c r="G894" s="361"/>
      <c r="I894" s="349"/>
      <c r="K894" s="352"/>
      <c r="L894" s="352"/>
      <c r="N894" s="205"/>
      <c r="O894" s="352"/>
      <c r="P894" s="363"/>
      <c r="R894" s="352"/>
    </row>
    <row r="895">
      <c r="B895" s="352"/>
      <c r="C895" s="352"/>
      <c r="E895" s="361"/>
      <c r="F895" s="362"/>
      <c r="G895" s="361"/>
      <c r="I895" s="349"/>
      <c r="K895" s="352"/>
      <c r="L895" s="352"/>
      <c r="N895" s="205"/>
      <c r="O895" s="352"/>
      <c r="P895" s="363"/>
      <c r="R895" s="352"/>
    </row>
    <row r="896">
      <c r="B896" s="352"/>
      <c r="C896" s="352"/>
      <c r="E896" s="361"/>
      <c r="F896" s="362"/>
      <c r="G896" s="361"/>
      <c r="I896" s="349"/>
      <c r="K896" s="352"/>
      <c r="L896" s="352"/>
      <c r="N896" s="205"/>
      <c r="O896" s="352"/>
      <c r="P896" s="363"/>
      <c r="R896" s="352"/>
    </row>
    <row r="897">
      <c r="B897" s="352"/>
      <c r="C897" s="352"/>
      <c r="E897" s="361"/>
      <c r="F897" s="362"/>
      <c r="G897" s="361"/>
      <c r="I897" s="349"/>
      <c r="K897" s="352"/>
      <c r="L897" s="352"/>
      <c r="N897" s="205"/>
      <c r="O897" s="352"/>
      <c r="P897" s="363"/>
      <c r="R897" s="352"/>
    </row>
    <row r="898">
      <c r="B898" s="352"/>
      <c r="C898" s="352"/>
      <c r="E898" s="361"/>
      <c r="F898" s="362"/>
      <c r="G898" s="361"/>
      <c r="I898" s="349"/>
      <c r="K898" s="352"/>
      <c r="L898" s="352"/>
      <c r="N898" s="205"/>
      <c r="O898" s="352"/>
      <c r="P898" s="363"/>
      <c r="R898" s="352"/>
    </row>
    <row r="899">
      <c r="B899" s="352"/>
      <c r="C899" s="352"/>
      <c r="E899" s="361"/>
      <c r="F899" s="362"/>
      <c r="G899" s="361"/>
      <c r="I899" s="349"/>
      <c r="K899" s="352"/>
      <c r="L899" s="352"/>
      <c r="N899" s="205"/>
      <c r="O899" s="352"/>
      <c r="P899" s="363"/>
      <c r="R899" s="352"/>
    </row>
    <row r="900">
      <c r="B900" s="352"/>
      <c r="C900" s="352"/>
      <c r="E900" s="361"/>
      <c r="F900" s="362"/>
      <c r="G900" s="361"/>
      <c r="I900" s="349"/>
      <c r="K900" s="352"/>
      <c r="L900" s="352"/>
      <c r="N900" s="205"/>
      <c r="O900" s="352"/>
      <c r="P900" s="363"/>
      <c r="R900" s="352"/>
    </row>
    <row r="901">
      <c r="B901" s="352"/>
      <c r="C901" s="352"/>
      <c r="E901" s="361"/>
      <c r="F901" s="362"/>
      <c r="G901" s="361"/>
      <c r="I901" s="349"/>
      <c r="K901" s="352"/>
      <c r="L901" s="352"/>
      <c r="N901" s="205"/>
      <c r="O901" s="352"/>
      <c r="P901" s="363"/>
      <c r="R901" s="352"/>
    </row>
    <row r="902">
      <c r="B902" s="352"/>
      <c r="C902" s="352"/>
      <c r="E902" s="361"/>
      <c r="F902" s="362"/>
      <c r="G902" s="361"/>
      <c r="I902" s="349"/>
      <c r="K902" s="352"/>
      <c r="L902" s="352"/>
      <c r="N902" s="205"/>
      <c r="O902" s="352"/>
      <c r="P902" s="363"/>
      <c r="R902" s="352"/>
    </row>
    <row r="903">
      <c r="B903" s="352"/>
      <c r="C903" s="352"/>
      <c r="E903" s="361"/>
      <c r="F903" s="362"/>
      <c r="G903" s="361"/>
      <c r="I903" s="349"/>
      <c r="K903" s="352"/>
      <c r="L903" s="352"/>
      <c r="N903" s="205"/>
      <c r="O903" s="352"/>
      <c r="P903" s="363"/>
      <c r="R903" s="352"/>
    </row>
    <row r="904">
      <c r="B904" s="352"/>
      <c r="C904" s="352"/>
      <c r="E904" s="361"/>
      <c r="F904" s="362"/>
      <c r="G904" s="361"/>
      <c r="I904" s="349"/>
      <c r="K904" s="352"/>
      <c r="L904" s="352"/>
      <c r="N904" s="205"/>
      <c r="O904" s="352"/>
      <c r="P904" s="363"/>
      <c r="R904" s="352"/>
    </row>
    <row r="905">
      <c r="B905" s="352"/>
      <c r="C905" s="352"/>
      <c r="E905" s="361"/>
      <c r="F905" s="362"/>
      <c r="G905" s="361"/>
      <c r="I905" s="349"/>
      <c r="K905" s="352"/>
      <c r="L905" s="352"/>
      <c r="N905" s="205"/>
      <c r="O905" s="352"/>
      <c r="P905" s="363"/>
      <c r="R905" s="352"/>
    </row>
    <row r="906">
      <c r="B906" s="352"/>
      <c r="C906" s="352"/>
      <c r="E906" s="361"/>
      <c r="F906" s="362"/>
      <c r="G906" s="361"/>
      <c r="I906" s="349"/>
      <c r="K906" s="352"/>
      <c r="L906" s="352"/>
      <c r="N906" s="205"/>
      <c r="O906" s="352"/>
      <c r="P906" s="363"/>
      <c r="R906" s="352"/>
    </row>
    <row r="907">
      <c r="B907" s="352"/>
      <c r="C907" s="352"/>
      <c r="E907" s="361"/>
      <c r="F907" s="362"/>
      <c r="G907" s="361"/>
      <c r="I907" s="349"/>
      <c r="K907" s="352"/>
      <c r="L907" s="352"/>
      <c r="N907" s="205"/>
      <c r="O907" s="352"/>
      <c r="P907" s="363"/>
      <c r="R907" s="352"/>
    </row>
    <row r="908">
      <c r="B908" s="352"/>
      <c r="C908" s="352"/>
      <c r="E908" s="361"/>
      <c r="F908" s="362"/>
      <c r="G908" s="361"/>
      <c r="I908" s="349"/>
      <c r="K908" s="352"/>
      <c r="L908" s="352"/>
      <c r="N908" s="205"/>
      <c r="O908" s="352"/>
      <c r="P908" s="363"/>
      <c r="R908" s="352"/>
    </row>
    <row r="909">
      <c r="B909" s="352"/>
      <c r="C909" s="352"/>
      <c r="E909" s="361"/>
      <c r="F909" s="362"/>
      <c r="G909" s="361"/>
      <c r="I909" s="349"/>
      <c r="K909" s="352"/>
      <c r="L909" s="352"/>
      <c r="N909" s="205"/>
      <c r="O909" s="352"/>
      <c r="P909" s="363"/>
      <c r="R909" s="352"/>
    </row>
    <row r="910">
      <c r="B910" s="352"/>
      <c r="C910" s="352"/>
      <c r="E910" s="361"/>
      <c r="F910" s="362"/>
      <c r="G910" s="361"/>
      <c r="I910" s="349"/>
      <c r="K910" s="352"/>
      <c r="L910" s="352"/>
      <c r="N910" s="205"/>
      <c r="O910" s="352"/>
      <c r="P910" s="363"/>
      <c r="R910" s="352"/>
    </row>
    <row r="911">
      <c r="B911" s="352"/>
      <c r="C911" s="352"/>
      <c r="E911" s="361"/>
      <c r="F911" s="362"/>
      <c r="G911" s="361"/>
      <c r="I911" s="349"/>
      <c r="K911" s="352"/>
      <c r="L911" s="352"/>
      <c r="N911" s="205"/>
      <c r="O911" s="352"/>
      <c r="P911" s="363"/>
      <c r="R911" s="352"/>
    </row>
    <row r="912">
      <c r="B912" s="352"/>
      <c r="C912" s="352"/>
      <c r="E912" s="361"/>
      <c r="F912" s="362"/>
      <c r="G912" s="361"/>
      <c r="I912" s="349"/>
      <c r="K912" s="352"/>
      <c r="L912" s="352"/>
      <c r="N912" s="205"/>
      <c r="O912" s="352"/>
      <c r="P912" s="363"/>
      <c r="R912" s="352"/>
    </row>
    <row r="913">
      <c r="B913" s="352"/>
      <c r="C913" s="352"/>
      <c r="E913" s="361"/>
      <c r="F913" s="362"/>
      <c r="G913" s="361"/>
      <c r="I913" s="349"/>
      <c r="K913" s="352"/>
      <c r="L913" s="352"/>
      <c r="N913" s="205"/>
      <c r="O913" s="352"/>
      <c r="P913" s="363"/>
      <c r="R913" s="352"/>
    </row>
    <row r="914">
      <c r="B914" s="352"/>
      <c r="C914" s="352"/>
      <c r="E914" s="361"/>
      <c r="F914" s="362"/>
      <c r="G914" s="361"/>
      <c r="I914" s="349"/>
      <c r="K914" s="352"/>
      <c r="L914" s="352"/>
      <c r="N914" s="205"/>
      <c r="O914" s="352"/>
      <c r="P914" s="363"/>
      <c r="R914" s="352"/>
    </row>
    <row r="915">
      <c r="B915" s="352"/>
      <c r="C915" s="352"/>
      <c r="E915" s="361"/>
      <c r="F915" s="362"/>
      <c r="G915" s="361"/>
      <c r="I915" s="349"/>
      <c r="K915" s="352"/>
      <c r="L915" s="352"/>
      <c r="N915" s="205"/>
      <c r="O915" s="352"/>
      <c r="P915" s="363"/>
      <c r="R915" s="352"/>
    </row>
    <row r="916">
      <c r="B916" s="352"/>
      <c r="C916" s="352"/>
      <c r="E916" s="361"/>
      <c r="F916" s="362"/>
      <c r="G916" s="361"/>
      <c r="I916" s="349"/>
      <c r="K916" s="352"/>
      <c r="L916" s="352"/>
      <c r="N916" s="205"/>
      <c r="O916" s="352"/>
      <c r="P916" s="363"/>
      <c r="R916" s="352"/>
    </row>
    <row r="917">
      <c r="B917" s="352"/>
      <c r="C917" s="352"/>
      <c r="E917" s="361"/>
      <c r="F917" s="362"/>
      <c r="G917" s="361"/>
      <c r="I917" s="349"/>
      <c r="K917" s="352"/>
      <c r="L917" s="352"/>
      <c r="N917" s="205"/>
      <c r="O917" s="352"/>
      <c r="P917" s="363"/>
      <c r="R917" s="352"/>
    </row>
    <row r="918">
      <c r="B918" s="352"/>
      <c r="C918" s="352"/>
      <c r="E918" s="361"/>
      <c r="F918" s="362"/>
      <c r="G918" s="361"/>
      <c r="I918" s="349"/>
      <c r="K918" s="352"/>
      <c r="L918" s="352"/>
      <c r="N918" s="205"/>
      <c r="O918" s="352"/>
      <c r="P918" s="363"/>
      <c r="R918" s="352"/>
    </row>
    <row r="919">
      <c r="B919" s="352"/>
      <c r="C919" s="352"/>
      <c r="E919" s="361"/>
      <c r="F919" s="362"/>
      <c r="G919" s="361"/>
      <c r="I919" s="349"/>
      <c r="K919" s="352"/>
      <c r="L919" s="352"/>
      <c r="N919" s="205"/>
      <c r="O919" s="352"/>
      <c r="P919" s="363"/>
      <c r="R919" s="352"/>
    </row>
    <row r="920">
      <c r="B920" s="352"/>
      <c r="C920" s="352"/>
      <c r="E920" s="361"/>
      <c r="F920" s="362"/>
      <c r="G920" s="361"/>
      <c r="I920" s="349"/>
      <c r="K920" s="352"/>
      <c r="L920" s="352"/>
      <c r="N920" s="205"/>
      <c r="O920" s="352"/>
      <c r="P920" s="363"/>
      <c r="R920" s="352"/>
    </row>
    <row r="921">
      <c r="B921" s="352"/>
      <c r="C921" s="352"/>
      <c r="E921" s="361"/>
      <c r="F921" s="362"/>
      <c r="G921" s="361"/>
      <c r="I921" s="349"/>
      <c r="K921" s="352"/>
      <c r="L921" s="352"/>
      <c r="N921" s="205"/>
      <c r="O921" s="352"/>
      <c r="P921" s="363"/>
      <c r="R921" s="352"/>
    </row>
    <row r="922">
      <c r="B922" s="352"/>
      <c r="C922" s="352"/>
      <c r="E922" s="361"/>
      <c r="F922" s="362"/>
      <c r="G922" s="361"/>
      <c r="I922" s="349"/>
      <c r="K922" s="352"/>
      <c r="L922" s="352"/>
      <c r="N922" s="205"/>
      <c r="O922" s="352"/>
      <c r="P922" s="363"/>
      <c r="R922" s="352"/>
    </row>
    <row r="923">
      <c r="B923" s="352"/>
      <c r="C923" s="352"/>
      <c r="E923" s="361"/>
      <c r="F923" s="362"/>
      <c r="G923" s="361"/>
      <c r="I923" s="349"/>
      <c r="K923" s="352"/>
      <c r="L923" s="352"/>
      <c r="N923" s="205"/>
      <c r="O923" s="352"/>
      <c r="P923" s="363"/>
      <c r="R923" s="352"/>
    </row>
    <row r="924">
      <c r="B924" s="352"/>
      <c r="C924" s="352"/>
      <c r="E924" s="361"/>
      <c r="F924" s="362"/>
      <c r="G924" s="361"/>
      <c r="I924" s="349"/>
      <c r="K924" s="352"/>
      <c r="L924" s="352"/>
      <c r="N924" s="205"/>
      <c r="O924" s="352"/>
      <c r="P924" s="363"/>
      <c r="R924" s="352"/>
    </row>
    <row r="925">
      <c r="B925" s="352"/>
      <c r="C925" s="352"/>
      <c r="E925" s="361"/>
      <c r="F925" s="362"/>
      <c r="G925" s="361"/>
      <c r="I925" s="349"/>
      <c r="K925" s="352"/>
      <c r="L925" s="352"/>
      <c r="N925" s="205"/>
      <c r="O925" s="352"/>
      <c r="P925" s="363"/>
      <c r="R925" s="352"/>
    </row>
    <row r="926">
      <c r="B926" s="352"/>
      <c r="C926" s="352"/>
      <c r="E926" s="361"/>
      <c r="F926" s="362"/>
      <c r="G926" s="361"/>
      <c r="I926" s="349"/>
      <c r="K926" s="352"/>
      <c r="L926" s="352"/>
      <c r="N926" s="205"/>
      <c r="O926" s="352"/>
      <c r="P926" s="363"/>
      <c r="R926" s="352"/>
    </row>
    <row r="927">
      <c r="B927" s="352"/>
      <c r="C927" s="352"/>
      <c r="E927" s="361"/>
      <c r="F927" s="362"/>
      <c r="G927" s="361"/>
      <c r="I927" s="349"/>
      <c r="K927" s="352"/>
      <c r="L927" s="352"/>
      <c r="N927" s="205"/>
      <c r="O927" s="352"/>
      <c r="P927" s="363"/>
      <c r="R927" s="352"/>
    </row>
    <row r="928">
      <c r="B928" s="352"/>
      <c r="C928" s="352"/>
      <c r="E928" s="361"/>
      <c r="F928" s="362"/>
      <c r="G928" s="361"/>
      <c r="I928" s="349"/>
      <c r="K928" s="352"/>
      <c r="L928" s="352"/>
      <c r="N928" s="205"/>
      <c r="O928" s="352"/>
      <c r="P928" s="363"/>
      <c r="R928" s="352"/>
    </row>
    <row r="929">
      <c r="B929" s="352"/>
      <c r="C929" s="352"/>
      <c r="E929" s="361"/>
      <c r="F929" s="362"/>
      <c r="G929" s="361"/>
      <c r="I929" s="349"/>
      <c r="K929" s="352"/>
      <c r="L929" s="352"/>
      <c r="N929" s="205"/>
      <c r="O929" s="352"/>
      <c r="P929" s="363"/>
      <c r="R929" s="352"/>
    </row>
    <row r="930">
      <c r="B930" s="352"/>
      <c r="C930" s="352"/>
      <c r="E930" s="361"/>
      <c r="F930" s="362"/>
      <c r="G930" s="361"/>
      <c r="I930" s="349"/>
      <c r="K930" s="352"/>
      <c r="L930" s="352"/>
      <c r="N930" s="205"/>
      <c r="O930" s="352"/>
      <c r="P930" s="363"/>
      <c r="R930" s="352"/>
    </row>
    <row r="931">
      <c r="B931" s="352"/>
      <c r="C931" s="352"/>
      <c r="E931" s="361"/>
      <c r="F931" s="362"/>
      <c r="G931" s="361"/>
      <c r="I931" s="349"/>
      <c r="K931" s="352"/>
      <c r="L931" s="352"/>
      <c r="N931" s="205"/>
      <c r="O931" s="352"/>
      <c r="P931" s="363"/>
      <c r="R931" s="352"/>
    </row>
    <row r="932">
      <c r="B932" s="352"/>
      <c r="C932" s="352"/>
      <c r="E932" s="361"/>
      <c r="F932" s="362"/>
      <c r="G932" s="361"/>
      <c r="I932" s="349"/>
      <c r="K932" s="352"/>
      <c r="L932" s="352"/>
      <c r="N932" s="205"/>
      <c r="O932" s="352"/>
      <c r="P932" s="363"/>
      <c r="R932" s="352"/>
    </row>
    <row r="933">
      <c r="B933" s="352"/>
      <c r="C933" s="352"/>
      <c r="E933" s="361"/>
      <c r="F933" s="362"/>
      <c r="G933" s="361"/>
      <c r="I933" s="349"/>
      <c r="K933" s="352"/>
      <c r="L933" s="352"/>
      <c r="N933" s="205"/>
      <c r="O933" s="352"/>
      <c r="P933" s="363"/>
      <c r="R933" s="352"/>
    </row>
    <row r="934">
      <c r="B934" s="352"/>
      <c r="C934" s="352"/>
      <c r="E934" s="361"/>
      <c r="F934" s="362"/>
      <c r="G934" s="361"/>
      <c r="I934" s="349"/>
      <c r="K934" s="352"/>
      <c r="L934" s="352"/>
      <c r="N934" s="205"/>
      <c r="O934" s="352"/>
      <c r="P934" s="363"/>
      <c r="R934" s="352"/>
    </row>
    <row r="935">
      <c r="B935" s="352"/>
      <c r="C935" s="352"/>
      <c r="E935" s="361"/>
      <c r="F935" s="362"/>
      <c r="G935" s="361"/>
      <c r="I935" s="349"/>
      <c r="K935" s="352"/>
      <c r="L935" s="352"/>
      <c r="N935" s="205"/>
      <c r="O935" s="352"/>
      <c r="P935" s="363"/>
      <c r="R935" s="352"/>
    </row>
    <row r="936">
      <c r="B936" s="352"/>
      <c r="C936" s="352"/>
      <c r="E936" s="361"/>
      <c r="F936" s="362"/>
      <c r="G936" s="361"/>
      <c r="I936" s="349"/>
      <c r="K936" s="352"/>
      <c r="L936" s="352"/>
      <c r="N936" s="205"/>
      <c r="O936" s="352"/>
      <c r="P936" s="363"/>
      <c r="R936" s="352"/>
    </row>
    <row r="937">
      <c r="B937" s="352"/>
      <c r="C937" s="352"/>
      <c r="E937" s="361"/>
      <c r="F937" s="362"/>
      <c r="G937" s="361"/>
      <c r="I937" s="349"/>
      <c r="K937" s="352"/>
      <c r="L937" s="352"/>
      <c r="N937" s="205"/>
      <c r="O937" s="352"/>
      <c r="P937" s="363"/>
      <c r="R937" s="352"/>
    </row>
    <row r="938">
      <c r="B938" s="352"/>
      <c r="C938" s="352"/>
      <c r="E938" s="361"/>
      <c r="F938" s="362"/>
      <c r="G938" s="361"/>
      <c r="I938" s="349"/>
      <c r="K938" s="352"/>
      <c r="L938" s="352"/>
      <c r="N938" s="205"/>
      <c r="O938" s="352"/>
      <c r="P938" s="363"/>
      <c r="R938" s="352"/>
    </row>
    <row r="939">
      <c r="B939" s="352"/>
      <c r="C939" s="352"/>
      <c r="E939" s="361"/>
      <c r="F939" s="362"/>
      <c r="G939" s="361"/>
      <c r="I939" s="349"/>
      <c r="K939" s="352"/>
      <c r="L939" s="352"/>
      <c r="N939" s="205"/>
      <c r="O939" s="352"/>
      <c r="P939" s="363"/>
      <c r="R939" s="352"/>
    </row>
    <row r="940">
      <c r="B940" s="352"/>
      <c r="C940" s="352"/>
      <c r="E940" s="361"/>
      <c r="F940" s="362"/>
      <c r="G940" s="361"/>
      <c r="I940" s="349"/>
      <c r="K940" s="352"/>
      <c r="L940" s="352"/>
      <c r="N940" s="205"/>
      <c r="O940" s="352"/>
      <c r="P940" s="363"/>
      <c r="R940" s="352"/>
    </row>
    <row r="941">
      <c r="B941" s="352"/>
      <c r="C941" s="352"/>
      <c r="E941" s="361"/>
      <c r="F941" s="362"/>
      <c r="G941" s="361"/>
      <c r="I941" s="349"/>
      <c r="K941" s="352"/>
      <c r="L941" s="352"/>
      <c r="N941" s="205"/>
      <c r="O941" s="352"/>
      <c r="P941" s="363"/>
      <c r="R941" s="352"/>
    </row>
    <row r="942">
      <c r="B942" s="352"/>
      <c r="C942" s="352"/>
      <c r="E942" s="361"/>
      <c r="F942" s="362"/>
      <c r="G942" s="361"/>
      <c r="I942" s="349"/>
      <c r="K942" s="352"/>
      <c r="L942" s="352"/>
      <c r="N942" s="205"/>
      <c r="O942" s="352"/>
      <c r="P942" s="363"/>
      <c r="R942" s="352"/>
    </row>
    <row r="943">
      <c r="B943" s="352"/>
      <c r="C943" s="352"/>
      <c r="E943" s="361"/>
      <c r="F943" s="362"/>
      <c r="G943" s="361"/>
      <c r="I943" s="349"/>
      <c r="K943" s="352"/>
      <c r="L943" s="352"/>
      <c r="N943" s="205"/>
      <c r="O943" s="352"/>
      <c r="P943" s="363"/>
      <c r="R943" s="352"/>
    </row>
    <row r="944">
      <c r="B944" s="352"/>
      <c r="C944" s="352"/>
      <c r="E944" s="361"/>
      <c r="F944" s="362"/>
      <c r="G944" s="361"/>
      <c r="I944" s="349"/>
      <c r="K944" s="352"/>
      <c r="L944" s="352"/>
      <c r="N944" s="205"/>
      <c r="O944" s="352"/>
      <c r="P944" s="363"/>
      <c r="R944" s="352"/>
    </row>
    <row r="945">
      <c r="B945" s="352"/>
      <c r="C945" s="352"/>
      <c r="E945" s="361"/>
      <c r="F945" s="362"/>
      <c r="G945" s="361"/>
      <c r="I945" s="349"/>
      <c r="K945" s="352"/>
      <c r="L945" s="352"/>
      <c r="N945" s="205"/>
      <c r="O945" s="352"/>
      <c r="P945" s="363"/>
      <c r="R945" s="352"/>
    </row>
    <row r="946">
      <c r="B946" s="352"/>
      <c r="C946" s="352"/>
      <c r="E946" s="361"/>
      <c r="F946" s="362"/>
      <c r="G946" s="361"/>
      <c r="I946" s="349"/>
      <c r="K946" s="352"/>
      <c r="L946" s="352"/>
      <c r="N946" s="205"/>
      <c r="O946" s="352"/>
      <c r="P946" s="363"/>
      <c r="R946" s="352"/>
    </row>
    <row r="947">
      <c r="B947" s="352"/>
      <c r="C947" s="352"/>
      <c r="E947" s="361"/>
      <c r="F947" s="362"/>
      <c r="G947" s="361"/>
      <c r="I947" s="349"/>
      <c r="K947" s="352"/>
      <c r="L947" s="352"/>
      <c r="N947" s="205"/>
      <c r="O947" s="352"/>
      <c r="P947" s="363"/>
      <c r="R947" s="352"/>
    </row>
    <row r="948">
      <c r="B948" s="352"/>
      <c r="C948" s="352"/>
      <c r="E948" s="361"/>
      <c r="F948" s="362"/>
      <c r="G948" s="361"/>
      <c r="I948" s="349"/>
      <c r="K948" s="352"/>
      <c r="L948" s="352"/>
      <c r="N948" s="205"/>
      <c r="O948" s="352"/>
      <c r="P948" s="363"/>
      <c r="R948" s="352"/>
    </row>
    <row r="949">
      <c r="B949" s="352"/>
      <c r="C949" s="352"/>
      <c r="E949" s="361"/>
      <c r="F949" s="362"/>
      <c r="G949" s="361"/>
      <c r="I949" s="349"/>
      <c r="K949" s="352"/>
      <c r="L949" s="352"/>
      <c r="N949" s="205"/>
      <c r="O949" s="352"/>
      <c r="P949" s="363"/>
      <c r="R949" s="352"/>
    </row>
    <row r="950">
      <c r="B950" s="352"/>
      <c r="C950" s="352"/>
      <c r="E950" s="361"/>
      <c r="F950" s="362"/>
      <c r="G950" s="361"/>
      <c r="I950" s="349"/>
      <c r="K950" s="352"/>
      <c r="L950" s="352"/>
      <c r="N950" s="205"/>
      <c r="O950" s="352"/>
      <c r="P950" s="363"/>
      <c r="R950" s="352"/>
    </row>
    <row r="951">
      <c r="B951" s="352"/>
      <c r="C951" s="352"/>
      <c r="E951" s="361"/>
      <c r="F951" s="362"/>
      <c r="G951" s="361"/>
      <c r="I951" s="349"/>
      <c r="K951" s="352"/>
      <c r="L951" s="352"/>
      <c r="N951" s="205"/>
      <c r="O951" s="352"/>
      <c r="P951" s="363"/>
      <c r="R951" s="352"/>
    </row>
    <row r="952">
      <c r="B952" s="352"/>
      <c r="C952" s="352"/>
      <c r="E952" s="361"/>
      <c r="F952" s="362"/>
      <c r="G952" s="361"/>
      <c r="I952" s="349"/>
      <c r="K952" s="352"/>
      <c r="L952" s="352"/>
      <c r="N952" s="205"/>
      <c r="O952" s="352"/>
      <c r="P952" s="363"/>
      <c r="R952" s="352"/>
    </row>
    <row r="953">
      <c r="B953" s="352"/>
      <c r="C953" s="352"/>
      <c r="E953" s="361"/>
      <c r="F953" s="362"/>
      <c r="G953" s="361"/>
      <c r="I953" s="349"/>
      <c r="K953" s="352"/>
      <c r="L953" s="352"/>
      <c r="N953" s="205"/>
      <c r="O953" s="352"/>
      <c r="P953" s="363"/>
      <c r="R953" s="352"/>
    </row>
    <row r="954">
      <c r="B954" s="352"/>
      <c r="C954" s="352"/>
      <c r="E954" s="361"/>
      <c r="F954" s="362"/>
      <c r="G954" s="361"/>
      <c r="I954" s="349"/>
      <c r="K954" s="352"/>
      <c r="L954" s="352"/>
      <c r="N954" s="205"/>
      <c r="O954" s="352"/>
      <c r="P954" s="363"/>
      <c r="R954" s="352"/>
    </row>
    <row r="955">
      <c r="B955" s="352"/>
      <c r="C955" s="352"/>
      <c r="E955" s="361"/>
      <c r="F955" s="362"/>
      <c r="G955" s="361"/>
      <c r="I955" s="349"/>
      <c r="K955" s="352"/>
      <c r="L955" s="352"/>
      <c r="N955" s="205"/>
      <c r="O955" s="352"/>
      <c r="P955" s="363"/>
      <c r="R955" s="352"/>
    </row>
    <row r="956">
      <c r="B956" s="352"/>
      <c r="C956" s="352"/>
      <c r="E956" s="361"/>
      <c r="F956" s="362"/>
      <c r="G956" s="361"/>
      <c r="I956" s="349"/>
      <c r="K956" s="352"/>
      <c r="L956" s="352"/>
      <c r="N956" s="205"/>
      <c r="O956" s="352"/>
      <c r="P956" s="363"/>
      <c r="R956" s="352"/>
    </row>
    <row r="957">
      <c r="B957" s="352"/>
      <c r="C957" s="352"/>
      <c r="E957" s="361"/>
      <c r="F957" s="362"/>
      <c r="G957" s="361"/>
      <c r="I957" s="349"/>
      <c r="K957" s="352"/>
      <c r="L957" s="352"/>
      <c r="N957" s="205"/>
      <c r="O957" s="352"/>
      <c r="P957" s="363"/>
      <c r="R957" s="352"/>
    </row>
    <row r="958">
      <c r="B958" s="352"/>
      <c r="C958" s="352"/>
      <c r="E958" s="361"/>
      <c r="F958" s="362"/>
      <c r="G958" s="361"/>
      <c r="I958" s="349"/>
      <c r="K958" s="352"/>
      <c r="L958" s="352"/>
      <c r="N958" s="205"/>
      <c r="O958" s="352"/>
      <c r="P958" s="363"/>
      <c r="R958" s="352"/>
    </row>
    <row r="959">
      <c r="B959" s="352"/>
      <c r="C959" s="352"/>
      <c r="E959" s="361"/>
      <c r="F959" s="362"/>
      <c r="G959" s="361"/>
      <c r="I959" s="349"/>
      <c r="K959" s="352"/>
      <c r="L959" s="352"/>
      <c r="N959" s="205"/>
      <c r="O959" s="352"/>
      <c r="P959" s="363"/>
      <c r="R959" s="352"/>
    </row>
    <row r="960">
      <c r="B960" s="352"/>
      <c r="C960" s="352"/>
      <c r="E960" s="361"/>
      <c r="F960" s="362"/>
      <c r="G960" s="361"/>
      <c r="I960" s="349"/>
      <c r="K960" s="352"/>
      <c r="L960" s="352"/>
      <c r="N960" s="205"/>
      <c r="O960" s="352"/>
      <c r="P960" s="363"/>
      <c r="R960" s="352"/>
    </row>
    <row r="961">
      <c r="B961" s="352"/>
      <c r="C961" s="352"/>
      <c r="E961" s="361"/>
      <c r="F961" s="362"/>
      <c r="G961" s="361"/>
      <c r="I961" s="349"/>
      <c r="K961" s="352"/>
      <c r="L961" s="352"/>
      <c r="N961" s="205"/>
      <c r="O961" s="352"/>
      <c r="P961" s="363"/>
      <c r="R961" s="352"/>
    </row>
    <row r="962">
      <c r="B962" s="352"/>
      <c r="C962" s="352"/>
      <c r="E962" s="361"/>
      <c r="F962" s="362"/>
      <c r="G962" s="361"/>
      <c r="I962" s="349"/>
      <c r="K962" s="352"/>
      <c r="L962" s="352"/>
      <c r="N962" s="205"/>
      <c r="O962" s="352"/>
      <c r="P962" s="363"/>
      <c r="R962" s="352"/>
    </row>
    <row r="963">
      <c r="B963" s="352"/>
      <c r="C963" s="352"/>
      <c r="E963" s="361"/>
      <c r="F963" s="362"/>
      <c r="G963" s="361"/>
      <c r="I963" s="349"/>
      <c r="K963" s="352"/>
      <c r="L963" s="352"/>
      <c r="N963" s="205"/>
      <c r="O963" s="352"/>
      <c r="P963" s="363"/>
      <c r="R963" s="352"/>
    </row>
    <row r="964">
      <c r="B964" s="352"/>
      <c r="C964" s="352"/>
      <c r="E964" s="361"/>
      <c r="F964" s="362"/>
      <c r="G964" s="361"/>
      <c r="I964" s="349"/>
      <c r="K964" s="352"/>
      <c r="L964" s="352"/>
      <c r="N964" s="205"/>
      <c r="O964" s="352"/>
      <c r="P964" s="363"/>
      <c r="R964" s="352"/>
    </row>
    <row r="965">
      <c r="B965" s="352"/>
      <c r="C965" s="352"/>
      <c r="E965" s="361"/>
      <c r="F965" s="362"/>
      <c r="G965" s="361"/>
      <c r="I965" s="349"/>
      <c r="K965" s="352"/>
      <c r="L965" s="352"/>
      <c r="N965" s="205"/>
      <c r="O965" s="352"/>
      <c r="P965" s="363"/>
      <c r="R965" s="352"/>
    </row>
    <row r="966">
      <c r="B966" s="352"/>
      <c r="C966" s="352"/>
      <c r="E966" s="361"/>
      <c r="F966" s="362"/>
      <c r="G966" s="361"/>
      <c r="I966" s="349"/>
      <c r="K966" s="352"/>
      <c r="L966" s="352"/>
      <c r="N966" s="205"/>
      <c r="O966" s="352"/>
      <c r="P966" s="363"/>
      <c r="R966" s="352"/>
    </row>
    <row r="967">
      <c r="B967" s="352"/>
      <c r="C967" s="352"/>
      <c r="E967" s="361"/>
      <c r="F967" s="362"/>
      <c r="G967" s="361"/>
      <c r="I967" s="349"/>
      <c r="K967" s="352"/>
      <c r="L967" s="352"/>
      <c r="N967" s="205"/>
      <c r="O967" s="352"/>
      <c r="P967" s="363"/>
      <c r="R967" s="352"/>
    </row>
    <row r="968">
      <c r="B968" s="352"/>
      <c r="C968" s="352"/>
      <c r="E968" s="361"/>
      <c r="F968" s="362"/>
      <c r="G968" s="361"/>
      <c r="I968" s="349"/>
      <c r="K968" s="352"/>
      <c r="L968" s="352"/>
      <c r="N968" s="205"/>
      <c r="O968" s="352"/>
      <c r="P968" s="363"/>
      <c r="R968" s="352"/>
    </row>
    <row r="969">
      <c r="B969" s="352"/>
      <c r="C969" s="352"/>
      <c r="E969" s="361"/>
      <c r="F969" s="362"/>
      <c r="G969" s="361"/>
      <c r="I969" s="349"/>
      <c r="K969" s="352"/>
      <c r="L969" s="352"/>
      <c r="N969" s="205"/>
      <c r="O969" s="352"/>
      <c r="P969" s="363"/>
      <c r="R969" s="352"/>
    </row>
    <row r="970">
      <c r="B970" s="352"/>
      <c r="C970" s="352"/>
      <c r="E970" s="361"/>
      <c r="F970" s="362"/>
      <c r="G970" s="361"/>
      <c r="I970" s="349"/>
      <c r="K970" s="352"/>
      <c r="L970" s="352"/>
      <c r="N970" s="205"/>
      <c r="O970" s="352"/>
      <c r="P970" s="363"/>
      <c r="R970" s="352"/>
    </row>
    <row r="971">
      <c r="B971" s="352"/>
      <c r="C971" s="352"/>
      <c r="E971" s="361"/>
      <c r="F971" s="362"/>
      <c r="G971" s="361"/>
      <c r="I971" s="349"/>
      <c r="K971" s="352"/>
      <c r="L971" s="352"/>
      <c r="N971" s="205"/>
      <c r="O971" s="352"/>
      <c r="P971" s="363"/>
      <c r="R971" s="352"/>
    </row>
    <row r="972">
      <c r="B972" s="352"/>
      <c r="C972" s="352"/>
      <c r="E972" s="361"/>
      <c r="F972" s="362"/>
      <c r="G972" s="361"/>
      <c r="I972" s="349"/>
      <c r="K972" s="352"/>
      <c r="L972" s="352"/>
      <c r="N972" s="205"/>
      <c r="O972" s="352"/>
      <c r="P972" s="363"/>
      <c r="R972" s="352"/>
    </row>
    <row r="973">
      <c r="B973" s="352"/>
      <c r="C973" s="352"/>
      <c r="E973" s="361"/>
      <c r="F973" s="362"/>
      <c r="G973" s="361"/>
      <c r="I973" s="349"/>
      <c r="K973" s="352"/>
      <c r="L973" s="352"/>
      <c r="N973" s="205"/>
      <c r="O973" s="352"/>
      <c r="P973" s="363"/>
      <c r="R973" s="352"/>
    </row>
    <row r="974">
      <c r="B974" s="352"/>
      <c r="C974" s="352"/>
      <c r="E974" s="361"/>
      <c r="F974" s="362"/>
      <c r="G974" s="361"/>
      <c r="I974" s="349"/>
      <c r="K974" s="352"/>
      <c r="L974" s="352"/>
      <c r="N974" s="205"/>
      <c r="O974" s="352"/>
      <c r="P974" s="363"/>
      <c r="R974" s="352"/>
    </row>
    <row r="975">
      <c r="B975" s="352"/>
      <c r="C975" s="352"/>
      <c r="E975" s="361"/>
      <c r="F975" s="362"/>
      <c r="G975" s="361"/>
      <c r="I975" s="349"/>
      <c r="K975" s="352"/>
      <c r="L975" s="352"/>
      <c r="N975" s="205"/>
      <c r="O975" s="352"/>
      <c r="P975" s="363"/>
      <c r="R975" s="352"/>
    </row>
    <row r="976">
      <c r="B976" s="352"/>
      <c r="C976" s="352"/>
      <c r="E976" s="361"/>
      <c r="F976" s="362"/>
      <c r="G976" s="361"/>
      <c r="I976" s="349"/>
      <c r="K976" s="352"/>
      <c r="L976" s="352"/>
      <c r="N976" s="205"/>
      <c r="O976" s="352"/>
      <c r="P976" s="363"/>
      <c r="R976" s="352"/>
    </row>
    <row r="977">
      <c r="B977" s="352"/>
      <c r="C977" s="352"/>
      <c r="E977" s="361"/>
      <c r="F977" s="362"/>
      <c r="G977" s="361"/>
      <c r="I977" s="349"/>
      <c r="K977" s="352"/>
      <c r="L977" s="352"/>
      <c r="N977" s="205"/>
      <c r="O977" s="352"/>
      <c r="P977" s="363"/>
      <c r="R977" s="352"/>
    </row>
    <row r="978">
      <c r="B978" s="352"/>
      <c r="C978" s="352"/>
      <c r="E978" s="361"/>
      <c r="F978" s="362"/>
      <c r="G978" s="361"/>
      <c r="I978" s="349"/>
      <c r="K978" s="352"/>
      <c r="L978" s="352"/>
      <c r="N978" s="205"/>
      <c r="O978" s="352"/>
      <c r="P978" s="363"/>
      <c r="R978" s="352"/>
    </row>
    <row r="979">
      <c r="B979" s="352"/>
      <c r="C979" s="352"/>
      <c r="E979" s="361"/>
      <c r="F979" s="362"/>
      <c r="G979" s="361"/>
      <c r="I979" s="349"/>
      <c r="K979" s="352"/>
      <c r="L979" s="352"/>
      <c r="N979" s="205"/>
      <c r="O979" s="352"/>
      <c r="P979" s="363"/>
      <c r="R979" s="352"/>
    </row>
    <row r="980">
      <c r="B980" s="352"/>
      <c r="C980" s="352"/>
      <c r="E980" s="361"/>
      <c r="F980" s="362"/>
      <c r="G980" s="361"/>
      <c r="I980" s="349"/>
      <c r="K980" s="352"/>
      <c r="L980" s="352"/>
      <c r="N980" s="205"/>
      <c r="O980" s="352"/>
      <c r="P980" s="363"/>
      <c r="R980" s="352"/>
    </row>
    <row r="981">
      <c r="B981" s="352"/>
      <c r="C981" s="352"/>
      <c r="E981" s="361"/>
      <c r="F981" s="362"/>
      <c r="G981" s="361"/>
      <c r="I981" s="349"/>
      <c r="K981" s="352"/>
      <c r="L981" s="352"/>
      <c r="N981" s="205"/>
      <c r="O981" s="352"/>
      <c r="P981" s="363"/>
      <c r="R981" s="352"/>
    </row>
    <row r="982">
      <c r="B982" s="352"/>
      <c r="C982" s="352"/>
      <c r="E982" s="361"/>
      <c r="F982" s="362"/>
      <c r="G982" s="361"/>
      <c r="I982" s="349"/>
      <c r="K982" s="352"/>
      <c r="L982" s="352"/>
      <c r="N982" s="205"/>
      <c r="O982" s="352"/>
      <c r="P982" s="363"/>
      <c r="R982" s="352"/>
    </row>
    <row r="983">
      <c r="B983" s="352"/>
      <c r="C983" s="352"/>
      <c r="E983" s="361"/>
      <c r="F983" s="362"/>
      <c r="G983" s="361"/>
      <c r="I983" s="349"/>
      <c r="K983" s="352"/>
      <c r="L983" s="352"/>
      <c r="N983" s="205"/>
      <c r="O983" s="352"/>
      <c r="P983" s="363"/>
      <c r="R983" s="352"/>
    </row>
    <row r="984">
      <c r="B984" s="352"/>
      <c r="C984" s="352"/>
      <c r="E984" s="361"/>
      <c r="F984" s="362"/>
      <c r="G984" s="361"/>
      <c r="I984" s="349"/>
      <c r="K984" s="352"/>
      <c r="L984" s="352"/>
      <c r="N984" s="205"/>
      <c r="O984" s="352"/>
      <c r="P984" s="363"/>
      <c r="R984" s="352"/>
    </row>
    <row r="985">
      <c r="B985" s="352"/>
      <c r="C985" s="352"/>
      <c r="E985" s="361"/>
      <c r="F985" s="362"/>
      <c r="G985" s="361"/>
      <c r="I985" s="349"/>
      <c r="K985" s="352"/>
      <c r="L985" s="352"/>
      <c r="N985" s="205"/>
      <c r="O985" s="352"/>
      <c r="P985" s="363"/>
      <c r="R985" s="352"/>
    </row>
    <row r="986">
      <c r="B986" s="352"/>
      <c r="C986" s="352"/>
      <c r="E986" s="361"/>
      <c r="F986" s="362"/>
      <c r="G986" s="361"/>
      <c r="I986" s="349"/>
      <c r="K986" s="352"/>
      <c r="L986" s="352"/>
      <c r="N986" s="205"/>
      <c r="O986" s="352"/>
      <c r="P986" s="363"/>
      <c r="R986" s="352"/>
    </row>
    <row r="987">
      <c r="B987" s="352"/>
      <c r="C987" s="352"/>
      <c r="E987" s="361"/>
      <c r="F987" s="362"/>
      <c r="G987" s="361"/>
      <c r="I987" s="349"/>
      <c r="K987" s="352"/>
      <c r="L987" s="352"/>
      <c r="N987" s="205"/>
      <c r="O987" s="352"/>
      <c r="P987" s="363"/>
      <c r="R987" s="352"/>
    </row>
    <row r="988">
      <c r="B988" s="352"/>
      <c r="C988" s="352"/>
      <c r="E988" s="361"/>
      <c r="F988" s="362"/>
      <c r="G988" s="361"/>
      <c r="I988" s="349"/>
      <c r="K988" s="352"/>
      <c r="L988" s="352"/>
      <c r="N988" s="205"/>
      <c r="O988" s="352"/>
      <c r="P988" s="363"/>
      <c r="R988" s="352"/>
    </row>
    <row r="989">
      <c r="B989" s="352"/>
      <c r="C989" s="352"/>
      <c r="E989" s="361"/>
      <c r="F989" s="362"/>
      <c r="G989" s="361"/>
      <c r="I989" s="349"/>
      <c r="K989" s="352"/>
      <c r="L989" s="352"/>
      <c r="N989" s="205"/>
      <c r="O989" s="352"/>
      <c r="P989" s="363"/>
      <c r="R989" s="352"/>
    </row>
    <row r="990">
      <c r="B990" s="352"/>
      <c r="C990" s="352"/>
      <c r="E990" s="361"/>
      <c r="F990" s="362"/>
      <c r="G990" s="361"/>
      <c r="I990" s="349"/>
      <c r="K990" s="352"/>
      <c r="L990" s="352"/>
      <c r="N990" s="205"/>
      <c r="O990" s="352"/>
      <c r="P990" s="363"/>
      <c r="R990" s="352"/>
    </row>
    <row r="991">
      <c r="B991" s="352"/>
      <c r="C991" s="352"/>
      <c r="E991" s="361"/>
      <c r="F991" s="362"/>
      <c r="G991" s="361"/>
      <c r="I991" s="349"/>
      <c r="K991" s="352"/>
      <c r="L991" s="352"/>
      <c r="N991" s="205"/>
      <c r="O991" s="352"/>
      <c r="P991" s="363"/>
      <c r="R991" s="352"/>
    </row>
    <row r="992">
      <c r="B992" s="352"/>
      <c r="C992" s="352"/>
      <c r="E992" s="361"/>
      <c r="F992" s="362"/>
      <c r="G992" s="361"/>
      <c r="I992" s="349"/>
      <c r="K992" s="352"/>
      <c r="L992" s="352"/>
      <c r="N992" s="205"/>
      <c r="O992" s="352"/>
      <c r="P992" s="363"/>
      <c r="R992" s="352"/>
    </row>
    <row r="993">
      <c r="B993" s="352"/>
      <c r="C993" s="352"/>
      <c r="E993" s="361"/>
      <c r="F993" s="362"/>
      <c r="G993" s="361"/>
      <c r="I993" s="349"/>
      <c r="K993" s="352"/>
      <c r="L993" s="352"/>
      <c r="N993" s="205"/>
      <c r="O993" s="352"/>
      <c r="P993" s="363"/>
      <c r="R993" s="352"/>
    </row>
    <row r="994">
      <c r="B994" s="352"/>
      <c r="C994" s="352"/>
      <c r="E994" s="361"/>
      <c r="F994" s="362"/>
      <c r="G994" s="361"/>
      <c r="I994" s="349"/>
      <c r="K994" s="352"/>
      <c r="L994" s="352"/>
      <c r="N994" s="205"/>
      <c r="O994" s="352"/>
      <c r="P994" s="363"/>
      <c r="R994" s="352"/>
    </row>
    <row r="995">
      <c r="B995" s="352"/>
      <c r="C995" s="352"/>
      <c r="E995" s="361"/>
      <c r="F995" s="362"/>
      <c r="G995" s="361"/>
      <c r="I995" s="349"/>
      <c r="K995" s="352"/>
      <c r="L995" s="352"/>
      <c r="N995" s="205"/>
      <c r="O995" s="352"/>
      <c r="P995" s="363"/>
      <c r="R995" s="352"/>
    </row>
    <row r="996">
      <c r="B996" s="352"/>
      <c r="C996" s="352"/>
      <c r="E996" s="361"/>
      <c r="F996" s="362"/>
      <c r="G996" s="361"/>
      <c r="I996" s="349"/>
      <c r="K996" s="352"/>
      <c r="L996" s="352"/>
      <c r="N996" s="205"/>
      <c r="O996" s="352"/>
      <c r="P996" s="363"/>
      <c r="R996" s="352"/>
    </row>
    <row r="997">
      <c r="B997" s="352"/>
      <c r="C997" s="352"/>
      <c r="E997" s="361"/>
      <c r="F997" s="362"/>
      <c r="G997" s="361"/>
      <c r="I997" s="349"/>
      <c r="K997" s="352"/>
      <c r="L997" s="352"/>
      <c r="N997" s="205"/>
      <c r="O997" s="352"/>
      <c r="P997" s="363"/>
      <c r="R997" s="352"/>
    </row>
    <row r="998">
      <c r="B998" s="352"/>
      <c r="C998" s="352"/>
      <c r="E998" s="361"/>
      <c r="F998" s="362"/>
      <c r="G998" s="361"/>
      <c r="I998" s="349"/>
      <c r="K998" s="352"/>
      <c r="L998" s="352"/>
      <c r="N998" s="205"/>
      <c r="O998" s="352"/>
      <c r="P998" s="363"/>
      <c r="R998" s="352"/>
    </row>
    <row r="999">
      <c r="B999" s="352"/>
      <c r="C999" s="352"/>
      <c r="E999" s="361"/>
      <c r="F999" s="362"/>
      <c r="G999" s="361"/>
      <c r="I999" s="349"/>
      <c r="K999" s="352"/>
      <c r="L999" s="352"/>
      <c r="N999" s="205"/>
      <c r="O999" s="352"/>
      <c r="P999" s="363"/>
      <c r="R999" s="352"/>
    </row>
    <row r="1000">
      <c r="B1000" s="352"/>
      <c r="C1000" s="352"/>
      <c r="E1000" s="361"/>
      <c r="F1000" s="362"/>
      <c r="G1000" s="361"/>
      <c r="I1000" s="349"/>
      <c r="K1000" s="352"/>
      <c r="L1000" s="352"/>
      <c r="N1000" s="205"/>
      <c r="O1000" s="352"/>
      <c r="P1000" s="363"/>
      <c r="R1000" s="352"/>
    </row>
    <row r="1001">
      <c r="B1001" s="352"/>
      <c r="C1001" s="352"/>
      <c r="E1001" s="361"/>
      <c r="F1001" s="362"/>
      <c r="G1001" s="361"/>
      <c r="I1001" s="349"/>
      <c r="K1001" s="352"/>
      <c r="L1001" s="352"/>
      <c r="N1001" s="205"/>
      <c r="O1001" s="352"/>
      <c r="P1001" s="363"/>
      <c r="R1001" s="352"/>
    </row>
    <row r="1002">
      <c r="B1002" s="352"/>
      <c r="C1002" s="352"/>
      <c r="E1002" s="361"/>
      <c r="F1002" s="362"/>
      <c r="G1002" s="361"/>
      <c r="I1002" s="349"/>
      <c r="K1002" s="352"/>
      <c r="L1002" s="352"/>
      <c r="N1002" s="205"/>
      <c r="O1002" s="352"/>
      <c r="P1002" s="363"/>
      <c r="R1002" s="352"/>
    </row>
    <row r="1003">
      <c r="B1003" s="352"/>
      <c r="C1003" s="352"/>
      <c r="E1003" s="361"/>
      <c r="F1003" s="362"/>
      <c r="G1003" s="361"/>
      <c r="I1003" s="349"/>
      <c r="K1003" s="352"/>
      <c r="L1003" s="352"/>
      <c r="N1003" s="205"/>
      <c r="O1003" s="352"/>
      <c r="P1003" s="363"/>
      <c r="R1003" s="352"/>
    </row>
    <row r="1004">
      <c r="B1004" s="352"/>
      <c r="C1004" s="352"/>
      <c r="E1004" s="361"/>
      <c r="F1004" s="362"/>
      <c r="G1004" s="361"/>
      <c r="I1004" s="349"/>
      <c r="K1004" s="352"/>
      <c r="L1004" s="352"/>
      <c r="N1004" s="205"/>
      <c r="O1004" s="352"/>
      <c r="P1004" s="363"/>
      <c r="R1004" s="352"/>
    </row>
    <row r="1005">
      <c r="B1005" s="352"/>
      <c r="C1005" s="352"/>
      <c r="E1005" s="361"/>
      <c r="F1005" s="362"/>
      <c r="G1005" s="361"/>
      <c r="I1005" s="349"/>
      <c r="K1005" s="352"/>
      <c r="L1005" s="352"/>
      <c r="N1005" s="205"/>
      <c r="O1005" s="352"/>
      <c r="P1005" s="363"/>
      <c r="R1005" s="352"/>
    </row>
    <row r="1006">
      <c r="B1006" s="352"/>
      <c r="C1006" s="352"/>
      <c r="E1006" s="361"/>
      <c r="F1006" s="362"/>
      <c r="G1006" s="361"/>
      <c r="I1006" s="349"/>
      <c r="K1006" s="352"/>
      <c r="L1006" s="352"/>
      <c r="N1006" s="205"/>
      <c r="O1006" s="352"/>
      <c r="P1006" s="363"/>
      <c r="R1006" s="352"/>
    </row>
    <row r="1007">
      <c r="B1007" s="352"/>
      <c r="C1007" s="352"/>
      <c r="E1007" s="361"/>
      <c r="F1007" s="362"/>
      <c r="G1007" s="361"/>
      <c r="I1007" s="349"/>
      <c r="K1007" s="352"/>
      <c r="L1007" s="352"/>
      <c r="N1007" s="205"/>
      <c r="O1007" s="352"/>
      <c r="P1007" s="363"/>
      <c r="R1007" s="352"/>
    </row>
    <row r="1008">
      <c r="B1008" s="352"/>
      <c r="C1008" s="352"/>
      <c r="E1008" s="361"/>
      <c r="F1008" s="362"/>
      <c r="G1008" s="361"/>
      <c r="I1008" s="349"/>
      <c r="K1008" s="352"/>
      <c r="L1008" s="352"/>
      <c r="N1008" s="205"/>
      <c r="O1008" s="352"/>
      <c r="P1008" s="363"/>
      <c r="R1008" s="352"/>
    </row>
    <row r="1009">
      <c r="B1009" s="352"/>
      <c r="C1009" s="352"/>
      <c r="E1009" s="361"/>
      <c r="F1009" s="362"/>
      <c r="G1009" s="361"/>
      <c r="I1009" s="349"/>
      <c r="K1009" s="352"/>
      <c r="L1009" s="352"/>
      <c r="N1009" s="205"/>
      <c r="O1009" s="352"/>
      <c r="P1009" s="363"/>
      <c r="R1009" s="352"/>
    </row>
    <row r="1010">
      <c r="B1010" s="352"/>
      <c r="C1010" s="352"/>
      <c r="E1010" s="361"/>
      <c r="F1010" s="362"/>
      <c r="G1010" s="361"/>
      <c r="I1010" s="349"/>
      <c r="K1010" s="352"/>
      <c r="L1010" s="352"/>
      <c r="N1010" s="205"/>
      <c r="O1010" s="352"/>
      <c r="P1010" s="363"/>
      <c r="R1010" s="352"/>
    </row>
    <row r="1011">
      <c r="B1011" s="352"/>
      <c r="C1011" s="352"/>
      <c r="E1011" s="361"/>
      <c r="F1011" s="362"/>
      <c r="G1011" s="361"/>
      <c r="I1011" s="349"/>
      <c r="K1011" s="352"/>
      <c r="L1011" s="352"/>
      <c r="N1011" s="205"/>
      <c r="O1011" s="352"/>
      <c r="P1011" s="363"/>
      <c r="R1011" s="352"/>
    </row>
    <row r="1012">
      <c r="B1012" s="352"/>
      <c r="C1012" s="352"/>
      <c r="E1012" s="361"/>
      <c r="F1012" s="362"/>
      <c r="G1012" s="361"/>
      <c r="I1012" s="349"/>
      <c r="K1012" s="352"/>
      <c r="L1012" s="352"/>
      <c r="N1012" s="205"/>
      <c r="O1012" s="352"/>
      <c r="P1012" s="363"/>
      <c r="R1012" s="352"/>
    </row>
    <row r="1013">
      <c r="B1013" s="352"/>
      <c r="C1013" s="352"/>
      <c r="E1013" s="361"/>
      <c r="F1013" s="362"/>
      <c r="G1013" s="361"/>
      <c r="I1013" s="349"/>
      <c r="K1013" s="352"/>
      <c r="L1013" s="352"/>
      <c r="N1013" s="205"/>
      <c r="O1013" s="352"/>
      <c r="P1013" s="363"/>
      <c r="R1013" s="352"/>
    </row>
    <row r="1014">
      <c r="B1014" s="352"/>
      <c r="C1014" s="352"/>
      <c r="E1014" s="361"/>
      <c r="F1014" s="362"/>
      <c r="G1014" s="361"/>
      <c r="I1014" s="349"/>
      <c r="K1014" s="352"/>
      <c r="L1014" s="352"/>
      <c r="N1014" s="205"/>
      <c r="O1014" s="352"/>
      <c r="P1014" s="363"/>
      <c r="R1014" s="352"/>
    </row>
    <row r="1015">
      <c r="B1015" s="352"/>
      <c r="C1015" s="352"/>
      <c r="E1015" s="361"/>
      <c r="F1015" s="362"/>
      <c r="G1015" s="361"/>
      <c r="I1015" s="349"/>
      <c r="K1015" s="352"/>
      <c r="L1015" s="352"/>
      <c r="N1015" s="205"/>
      <c r="O1015" s="352"/>
      <c r="P1015" s="363"/>
      <c r="R1015" s="352"/>
    </row>
    <row r="1016">
      <c r="B1016" s="352"/>
      <c r="C1016" s="352"/>
      <c r="E1016" s="361"/>
      <c r="F1016" s="362"/>
      <c r="G1016" s="361"/>
      <c r="I1016" s="349"/>
      <c r="K1016" s="352"/>
      <c r="L1016" s="352"/>
      <c r="N1016" s="205"/>
      <c r="O1016" s="352"/>
      <c r="P1016" s="363"/>
      <c r="R1016" s="352"/>
    </row>
    <row r="1017">
      <c r="B1017" s="352"/>
      <c r="C1017" s="352"/>
      <c r="E1017" s="361"/>
      <c r="F1017" s="362"/>
      <c r="G1017" s="361"/>
      <c r="I1017" s="349"/>
      <c r="K1017" s="352"/>
      <c r="L1017" s="352"/>
      <c r="N1017" s="205"/>
      <c r="O1017" s="352"/>
      <c r="P1017" s="363"/>
      <c r="R1017" s="352"/>
    </row>
    <row r="1018">
      <c r="B1018" s="352"/>
      <c r="C1018" s="352"/>
      <c r="E1018" s="361"/>
      <c r="F1018" s="362"/>
      <c r="G1018" s="361"/>
      <c r="I1018" s="349"/>
      <c r="K1018" s="352"/>
      <c r="L1018" s="352"/>
      <c r="N1018" s="205"/>
      <c r="O1018" s="352"/>
      <c r="P1018" s="363"/>
      <c r="R1018" s="352"/>
    </row>
    <row r="1019">
      <c r="B1019" s="352"/>
      <c r="C1019" s="352"/>
      <c r="E1019" s="361"/>
      <c r="F1019" s="362"/>
      <c r="G1019" s="361"/>
      <c r="I1019" s="349"/>
      <c r="K1019" s="352"/>
      <c r="L1019" s="352"/>
      <c r="N1019" s="205"/>
      <c r="O1019" s="352"/>
      <c r="P1019" s="363"/>
      <c r="R1019" s="352"/>
    </row>
    <row r="1020">
      <c r="B1020" s="352"/>
      <c r="C1020" s="352"/>
      <c r="E1020" s="361"/>
      <c r="F1020" s="362"/>
      <c r="G1020" s="361"/>
      <c r="I1020" s="349"/>
      <c r="K1020" s="352"/>
      <c r="L1020" s="352"/>
      <c r="N1020" s="205"/>
      <c r="O1020" s="352"/>
      <c r="P1020" s="363"/>
      <c r="R1020" s="352"/>
    </row>
    <row r="1021">
      <c r="B1021" s="352"/>
      <c r="C1021" s="352"/>
      <c r="E1021" s="361"/>
      <c r="F1021" s="362"/>
      <c r="G1021" s="361"/>
      <c r="I1021" s="349"/>
      <c r="K1021" s="352"/>
      <c r="L1021" s="352"/>
      <c r="N1021" s="205"/>
      <c r="O1021" s="352"/>
      <c r="P1021" s="363"/>
      <c r="R1021" s="352"/>
    </row>
    <row r="1022">
      <c r="B1022" s="352"/>
      <c r="C1022" s="352"/>
      <c r="E1022" s="361"/>
      <c r="F1022" s="362"/>
      <c r="G1022" s="361"/>
      <c r="I1022" s="349"/>
      <c r="K1022" s="352"/>
      <c r="L1022" s="352"/>
      <c r="N1022" s="205"/>
      <c r="O1022" s="352"/>
      <c r="P1022" s="363"/>
      <c r="R1022" s="352"/>
    </row>
    <row r="1023">
      <c r="B1023" s="352"/>
      <c r="C1023" s="352"/>
      <c r="E1023" s="361"/>
      <c r="F1023" s="362"/>
      <c r="G1023" s="361"/>
      <c r="I1023" s="349"/>
      <c r="K1023" s="352"/>
      <c r="L1023" s="352"/>
      <c r="N1023" s="205"/>
      <c r="O1023" s="352"/>
      <c r="P1023" s="363"/>
      <c r="R1023" s="35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13"/>
    <col customWidth="1" min="5" max="5" width="17.0"/>
    <col customWidth="1" min="6" max="6" width="15.63"/>
    <col customWidth="1" min="7" max="7" width="14.0"/>
  </cols>
  <sheetData>
    <row r="7">
      <c r="B7" s="152" t="s">
        <v>2531</v>
      </c>
    </row>
    <row r="8">
      <c r="B8" s="152" t="s">
        <v>2532</v>
      </c>
    </row>
    <row r="9">
      <c r="B9" s="152" t="s">
        <v>2533</v>
      </c>
    </row>
    <row r="10">
      <c r="B10" s="152" t="s">
        <v>2534</v>
      </c>
      <c r="G10" s="152" t="s">
        <v>2513</v>
      </c>
    </row>
    <row r="11">
      <c r="B11" s="152" t="s">
        <v>2535</v>
      </c>
      <c r="F11" s="152" t="s">
        <v>612</v>
      </c>
    </row>
    <row r="12">
      <c r="B12" s="152" t="s">
        <v>2536</v>
      </c>
      <c r="E12" s="152" t="s">
        <v>902</v>
      </c>
    </row>
    <row r="13">
      <c r="B13" s="152" t="s">
        <v>2513</v>
      </c>
      <c r="D13" s="152" t="s">
        <v>1867</v>
      </c>
    </row>
    <row r="14">
      <c r="B14" s="152" t="s">
        <v>328</v>
      </c>
    </row>
    <row r="17">
      <c r="G17" s="152" t="s">
        <v>328</v>
      </c>
    </row>
    <row r="18">
      <c r="F18" s="152" t="s">
        <v>293</v>
      </c>
    </row>
    <row r="19">
      <c r="E19" s="152" t="s">
        <v>2537</v>
      </c>
    </row>
    <row r="20">
      <c r="D20" s="152" t="s">
        <v>2538</v>
      </c>
    </row>
    <row r="21">
      <c r="B21" s="152" t="s">
        <v>2513</v>
      </c>
    </row>
    <row r="22">
      <c r="B22" s="152" t="s">
        <v>328</v>
      </c>
    </row>
    <row r="23">
      <c r="B23" s="152" t="s">
        <v>293</v>
      </c>
    </row>
    <row r="24">
      <c r="B24" s="152" t="s">
        <v>612</v>
      </c>
    </row>
    <row r="25">
      <c r="B25" s="152" t="s">
        <v>902</v>
      </c>
    </row>
    <row r="26">
      <c r="B26" s="152" t="s">
        <v>2537</v>
      </c>
    </row>
    <row r="27">
      <c r="B27" s="152" t="s">
        <v>1867</v>
      </c>
    </row>
    <row r="28">
      <c r="B28" s="152" t="s">
        <v>2538</v>
      </c>
      <c r="D28" s="152" t="s">
        <v>1867</v>
      </c>
      <c r="E28" s="152" t="s">
        <v>902</v>
      </c>
    </row>
    <row r="29">
      <c r="D29" s="152" t="s">
        <v>2538</v>
      </c>
      <c r="E29" s="152" t="s">
        <v>2537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4.63"/>
    <col customWidth="1" min="3" max="3" width="16.5"/>
    <col customWidth="1" min="4" max="4" width="6.13"/>
    <col customWidth="1" min="5" max="5" width="4.0"/>
    <col customWidth="1" hidden="1" min="6" max="6" width="38.38"/>
    <col customWidth="1" min="7" max="7" width="1.0"/>
    <col customWidth="1" min="8" max="8" width="5.38"/>
    <col customWidth="1" min="9" max="9" width="19.75"/>
    <col customWidth="1" min="10" max="10" width="4.75"/>
    <col customWidth="1" min="11" max="11" width="3.75"/>
    <col customWidth="1" min="12" max="12" width="1.13"/>
    <col customWidth="1" min="13" max="13" width="5.0"/>
    <col customWidth="1" min="14" max="14" width="26.38"/>
    <col customWidth="1" min="15" max="15" width="4.88"/>
    <col customWidth="1" min="16" max="16" width="12.63"/>
    <col customWidth="1" min="17" max="17" width="12.25"/>
    <col customWidth="1" min="18" max="18" width="4.5"/>
  </cols>
  <sheetData>
    <row r="1">
      <c r="E1" s="363"/>
      <c r="K1" s="363"/>
    </row>
    <row r="2">
      <c r="B2" s="512"/>
      <c r="C2" s="513" t="s">
        <v>2539</v>
      </c>
      <c r="D2" s="514"/>
      <c r="E2" s="363"/>
      <c r="K2" s="363"/>
      <c r="S2" s="97"/>
      <c r="T2" s="97"/>
      <c r="U2" s="97"/>
    </row>
    <row r="3">
      <c r="B3" s="515" t="s">
        <v>2540</v>
      </c>
      <c r="C3" s="516" t="s">
        <v>2512</v>
      </c>
      <c r="D3" s="517" t="s">
        <v>329</v>
      </c>
      <c r="E3" s="353"/>
      <c r="F3" s="152"/>
      <c r="I3" s="152" t="s">
        <v>2529</v>
      </c>
      <c r="K3" s="363"/>
      <c r="M3" s="152"/>
      <c r="N3" s="152"/>
      <c r="O3" s="152"/>
      <c r="T3" s="97"/>
    </row>
    <row r="4">
      <c r="B4" s="518"/>
      <c r="C4" s="152" t="s">
        <v>969</v>
      </c>
      <c r="D4" s="102" t="s">
        <v>970</v>
      </c>
      <c r="E4" s="353" t="s">
        <v>2541</v>
      </c>
      <c r="F4" s="152" t="s">
        <v>2542</v>
      </c>
      <c r="H4" s="512"/>
      <c r="I4" s="519" t="s">
        <v>2543</v>
      </c>
      <c r="J4" s="112"/>
      <c r="K4" s="520"/>
      <c r="M4" s="152"/>
      <c r="N4" s="152"/>
      <c r="O4" s="152"/>
    </row>
    <row r="5">
      <c r="B5" s="521"/>
      <c r="C5" s="522"/>
      <c r="D5" s="523"/>
      <c r="E5" s="524"/>
      <c r="F5" s="152" t="s">
        <v>2544</v>
      </c>
      <c r="H5" s="515" t="s">
        <v>2545</v>
      </c>
      <c r="I5" s="525" t="s">
        <v>2512</v>
      </c>
      <c r="J5" s="522" t="s">
        <v>329</v>
      </c>
      <c r="K5" s="353">
        <v>3.0</v>
      </c>
      <c r="L5" s="522"/>
      <c r="M5" s="522"/>
      <c r="N5" s="152"/>
      <c r="O5" s="152"/>
    </row>
    <row r="6">
      <c r="B6" s="518" t="s">
        <v>2546</v>
      </c>
      <c r="C6" s="167" t="s">
        <v>612</v>
      </c>
      <c r="D6" s="102" t="s">
        <v>613</v>
      </c>
      <c r="E6" s="353">
        <v>2.0</v>
      </c>
      <c r="F6" s="152" t="s">
        <v>2547</v>
      </c>
      <c r="H6" s="526" t="s">
        <v>2548</v>
      </c>
      <c r="I6" s="99" t="s">
        <v>612</v>
      </c>
      <c r="J6" s="152" t="s">
        <v>613</v>
      </c>
      <c r="K6" s="353">
        <v>2.0</v>
      </c>
      <c r="M6" s="522"/>
      <c r="N6" s="152"/>
      <c r="O6" s="152"/>
    </row>
    <row r="7">
      <c r="B7" s="527"/>
      <c r="C7" s="152" t="s">
        <v>582</v>
      </c>
      <c r="D7" s="102" t="s">
        <v>583</v>
      </c>
      <c r="E7" s="353">
        <v>0.0</v>
      </c>
      <c r="F7" s="152" t="s">
        <v>2549</v>
      </c>
      <c r="H7" s="521"/>
      <c r="I7" s="523"/>
      <c r="J7" s="522"/>
      <c r="K7" s="524"/>
      <c r="L7" s="522"/>
      <c r="M7" s="522"/>
      <c r="N7" s="152"/>
    </row>
    <row r="8">
      <c r="B8" s="110"/>
      <c r="D8" s="99"/>
      <c r="E8" s="363"/>
      <c r="F8" s="152" t="s">
        <v>2550</v>
      </c>
      <c r="H8" s="110"/>
      <c r="I8" s="99"/>
      <c r="K8" s="363"/>
      <c r="M8" s="512"/>
      <c r="N8" s="519" t="s">
        <v>2551</v>
      </c>
    </row>
    <row r="9">
      <c r="B9" s="110"/>
      <c r="C9" s="152"/>
      <c r="D9" s="102"/>
      <c r="E9" s="363"/>
      <c r="F9" s="152" t="s">
        <v>2552</v>
      </c>
      <c r="H9" s="110"/>
      <c r="I9" s="99"/>
      <c r="K9" s="363"/>
      <c r="L9" s="152"/>
      <c r="M9" s="515" t="s">
        <v>2511</v>
      </c>
      <c r="N9" s="525" t="s">
        <v>2512</v>
      </c>
      <c r="P9" s="528" t="s">
        <v>2553</v>
      </c>
    </row>
    <row r="10">
      <c r="B10" s="518" t="s">
        <v>2554</v>
      </c>
      <c r="C10" s="152" t="s">
        <v>2513</v>
      </c>
      <c r="D10" s="102" t="s">
        <v>398</v>
      </c>
      <c r="E10" s="353">
        <v>2.0</v>
      </c>
      <c r="F10" s="152" t="s">
        <v>2555</v>
      </c>
      <c r="H10" s="110"/>
      <c r="I10" s="99"/>
      <c r="K10" s="363"/>
      <c r="M10" s="529" t="s">
        <v>2556</v>
      </c>
      <c r="N10" s="102" t="s">
        <v>2513</v>
      </c>
      <c r="P10" s="530" t="s">
        <v>2525</v>
      </c>
    </row>
    <row r="11">
      <c r="B11" s="518"/>
      <c r="C11" s="152" t="s">
        <v>1835</v>
      </c>
      <c r="D11" s="102" t="s">
        <v>2557</v>
      </c>
      <c r="E11" s="353">
        <v>0.0</v>
      </c>
      <c r="F11" s="152" t="s">
        <v>2558</v>
      </c>
      <c r="H11" s="100"/>
      <c r="I11" s="99"/>
      <c r="K11" s="363"/>
    </row>
    <row r="12">
      <c r="B12" s="110"/>
      <c r="D12" s="99"/>
      <c r="E12" s="353"/>
      <c r="F12" s="152" t="s">
        <v>2559</v>
      </c>
      <c r="H12" s="518" t="s">
        <v>2560</v>
      </c>
      <c r="I12" s="102" t="s">
        <v>2513</v>
      </c>
      <c r="J12" s="152" t="s">
        <v>398</v>
      </c>
      <c r="K12" s="353">
        <v>3.0</v>
      </c>
      <c r="S12" s="112" t="s">
        <v>2561</v>
      </c>
    </row>
    <row r="13">
      <c r="B13" s="518" t="s">
        <v>2562</v>
      </c>
      <c r="C13" s="152" t="s">
        <v>293</v>
      </c>
      <c r="D13" s="102" t="s">
        <v>294</v>
      </c>
      <c r="E13" s="353">
        <v>2.0</v>
      </c>
      <c r="F13" s="152" t="s">
        <v>2563</v>
      </c>
      <c r="H13" s="529" t="s">
        <v>2548</v>
      </c>
      <c r="I13" s="531" t="s">
        <v>293</v>
      </c>
      <c r="J13" s="152" t="s">
        <v>294</v>
      </c>
      <c r="K13" s="353">
        <v>2.0</v>
      </c>
      <c r="R13" s="532"/>
      <c r="S13" s="533" t="s">
        <v>2564</v>
      </c>
    </row>
    <row r="14">
      <c r="B14" s="534"/>
      <c r="C14" s="335" t="s">
        <v>1031</v>
      </c>
      <c r="D14" s="535" t="s">
        <v>1032</v>
      </c>
      <c r="E14" s="353">
        <v>1.0</v>
      </c>
      <c r="F14" s="152"/>
      <c r="K14" s="363"/>
      <c r="R14" s="536" t="s">
        <v>2524</v>
      </c>
      <c r="S14" s="537" t="s">
        <v>2525</v>
      </c>
    </row>
    <row r="15">
      <c r="C15" s="152" t="s">
        <v>2565</v>
      </c>
      <c r="E15" s="524"/>
      <c r="F15" s="152"/>
      <c r="K15" s="363"/>
      <c r="R15" s="538" t="s">
        <v>2509</v>
      </c>
      <c r="S15" s="539" t="s">
        <v>2526</v>
      </c>
    </row>
    <row r="16">
      <c r="B16" s="512"/>
      <c r="C16" s="513" t="s">
        <v>2566</v>
      </c>
      <c r="D16" s="540"/>
      <c r="E16" s="541"/>
      <c r="F16" s="540"/>
      <c r="H16" s="512"/>
      <c r="I16" s="519" t="s">
        <v>2567</v>
      </c>
      <c r="J16" s="112"/>
      <c r="K16" s="520"/>
      <c r="M16" s="512"/>
      <c r="N16" s="519" t="s">
        <v>2568</v>
      </c>
    </row>
    <row r="17">
      <c r="B17" s="542" t="s">
        <v>2569</v>
      </c>
      <c r="C17" s="152" t="s">
        <v>1955</v>
      </c>
      <c r="D17" s="152" t="s">
        <v>1956</v>
      </c>
      <c r="E17" s="363"/>
      <c r="H17" s="542" t="s">
        <v>2570</v>
      </c>
      <c r="I17" s="102" t="s">
        <v>1955</v>
      </c>
      <c r="J17" s="152" t="s">
        <v>1956</v>
      </c>
      <c r="K17" s="353">
        <v>2.0</v>
      </c>
      <c r="M17" s="543" t="s">
        <v>2503</v>
      </c>
      <c r="N17" s="102" t="s">
        <v>1955</v>
      </c>
    </row>
    <row r="18">
      <c r="B18" s="544"/>
      <c r="C18" s="152" t="s">
        <v>2571</v>
      </c>
      <c r="D18" s="152" t="s">
        <v>1219</v>
      </c>
      <c r="E18" s="353" t="s">
        <v>2541</v>
      </c>
      <c r="H18" s="545" t="s">
        <v>2572</v>
      </c>
      <c r="I18" s="102" t="s">
        <v>1835</v>
      </c>
      <c r="J18" s="152" t="s">
        <v>2557</v>
      </c>
      <c r="K18" s="353">
        <v>0.0</v>
      </c>
      <c r="M18" s="545" t="s">
        <v>2573</v>
      </c>
      <c r="N18" s="102" t="s">
        <v>2574</v>
      </c>
    </row>
    <row r="19">
      <c r="B19" s="110"/>
      <c r="E19" s="363"/>
      <c r="H19" s="100"/>
      <c r="I19" s="102"/>
      <c r="K19" s="363"/>
      <c r="M19" s="110"/>
      <c r="N19" s="99"/>
      <c r="P19" s="112" t="s">
        <v>2509</v>
      </c>
    </row>
    <row r="20">
      <c r="B20" s="542" t="s">
        <v>2575</v>
      </c>
      <c r="C20" s="152" t="s">
        <v>1249</v>
      </c>
      <c r="D20" s="152" t="s">
        <v>1250</v>
      </c>
      <c r="E20" s="353">
        <v>0.0</v>
      </c>
      <c r="H20" s="542" t="s">
        <v>2500</v>
      </c>
      <c r="I20" s="102" t="s">
        <v>902</v>
      </c>
      <c r="J20" s="152" t="s">
        <v>903</v>
      </c>
      <c r="K20" s="353"/>
      <c r="M20" s="546" t="s">
        <v>2484</v>
      </c>
      <c r="N20" s="102" t="s">
        <v>2485</v>
      </c>
      <c r="O20" s="543" t="s">
        <v>2506</v>
      </c>
      <c r="P20" s="547" t="s">
        <v>2507</v>
      </c>
    </row>
    <row r="21">
      <c r="B21" s="542" t="s">
        <v>2548</v>
      </c>
      <c r="C21" s="152" t="s">
        <v>902</v>
      </c>
      <c r="D21" s="152" t="s">
        <v>903</v>
      </c>
      <c r="E21" s="353">
        <v>2.0</v>
      </c>
      <c r="H21" s="545" t="s">
        <v>2576</v>
      </c>
      <c r="I21" s="99" t="s">
        <v>1031</v>
      </c>
      <c r="J21" s="167" t="s">
        <v>1032</v>
      </c>
      <c r="K21" s="363"/>
      <c r="M21" s="548" t="s">
        <v>2577</v>
      </c>
      <c r="N21" s="99" t="s">
        <v>612</v>
      </c>
      <c r="O21" s="545" t="s">
        <v>2556</v>
      </c>
      <c r="P21" s="102" t="s">
        <v>2508</v>
      </c>
    </row>
    <row r="22">
      <c r="B22" s="110"/>
      <c r="E22" s="363"/>
      <c r="H22" s="100"/>
      <c r="I22" s="99"/>
      <c r="K22" s="363"/>
      <c r="M22" s="110"/>
      <c r="N22" s="99"/>
      <c r="O22" s="110"/>
      <c r="P22" s="99"/>
      <c r="Q22" s="549" t="s">
        <v>2578</v>
      </c>
    </row>
    <row r="23">
      <c r="B23" s="542" t="s">
        <v>2579</v>
      </c>
      <c r="C23" s="152" t="s">
        <v>1675</v>
      </c>
      <c r="D23" s="152" t="s">
        <v>2495</v>
      </c>
      <c r="E23" s="363"/>
      <c r="H23" s="542" t="s">
        <v>2580</v>
      </c>
      <c r="I23" s="102" t="s">
        <v>1675</v>
      </c>
      <c r="J23" s="152" t="s">
        <v>2495</v>
      </c>
      <c r="K23" s="353"/>
      <c r="M23" s="542" t="s">
        <v>2493</v>
      </c>
      <c r="N23" s="102" t="s">
        <v>1675</v>
      </c>
      <c r="O23" s="512"/>
      <c r="P23" s="519" t="s">
        <v>2581</v>
      </c>
      <c r="Q23" s="550" t="s">
        <v>2526</v>
      </c>
    </row>
    <row r="24">
      <c r="B24" s="544"/>
      <c r="C24" s="152" t="s">
        <v>2582</v>
      </c>
      <c r="D24" s="152" t="s">
        <v>465</v>
      </c>
      <c r="E24" s="353" t="s">
        <v>2541</v>
      </c>
      <c r="H24" s="545" t="s">
        <v>2572</v>
      </c>
      <c r="I24" s="102" t="s">
        <v>969</v>
      </c>
      <c r="J24" s="152" t="s">
        <v>970</v>
      </c>
      <c r="K24" s="353" t="s">
        <v>2541</v>
      </c>
      <c r="M24" s="545" t="s">
        <v>2583</v>
      </c>
      <c r="N24" s="102" t="s">
        <v>1867</v>
      </c>
      <c r="O24" s="546" t="s">
        <v>2584</v>
      </c>
      <c r="P24" s="102" t="s">
        <v>2517</v>
      </c>
    </row>
    <row r="25">
      <c r="B25" s="110"/>
      <c r="E25" s="363"/>
      <c r="H25" s="100"/>
      <c r="I25" s="99"/>
      <c r="K25" s="363"/>
      <c r="M25" s="100"/>
      <c r="N25" s="102"/>
      <c r="O25" s="551" t="s">
        <v>2585</v>
      </c>
      <c r="P25" s="531" t="s">
        <v>2520</v>
      </c>
    </row>
    <row r="26">
      <c r="B26" s="542" t="s">
        <v>2586</v>
      </c>
      <c r="C26" s="152" t="s">
        <v>1867</v>
      </c>
      <c r="D26" s="152" t="s">
        <v>1369</v>
      </c>
      <c r="E26" s="353">
        <v>2.0</v>
      </c>
      <c r="H26" s="542" t="s">
        <v>2587</v>
      </c>
      <c r="I26" s="102" t="s">
        <v>1867</v>
      </c>
      <c r="J26" s="152" t="s">
        <v>2496</v>
      </c>
      <c r="K26" s="353"/>
      <c r="M26" s="546" t="s">
        <v>2489</v>
      </c>
      <c r="N26" s="102" t="s">
        <v>2490</v>
      </c>
      <c r="P26" s="112" t="s">
        <v>2509</v>
      </c>
    </row>
    <row r="27">
      <c r="B27" s="552"/>
      <c r="C27" s="323" t="s">
        <v>1273</v>
      </c>
      <c r="D27" s="323" t="s">
        <v>1274</v>
      </c>
      <c r="E27" s="553">
        <v>1.0</v>
      </c>
      <c r="F27" s="335"/>
      <c r="H27" s="554" t="s">
        <v>2548</v>
      </c>
      <c r="I27" s="531" t="s">
        <v>582</v>
      </c>
      <c r="J27" s="152" t="s">
        <v>583</v>
      </c>
      <c r="K27" s="353" t="s">
        <v>2541</v>
      </c>
      <c r="L27" s="152"/>
      <c r="M27" s="551" t="s">
        <v>2577</v>
      </c>
      <c r="N27" s="531" t="s">
        <v>293</v>
      </c>
    </row>
    <row r="28">
      <c r="E28" s="363"/>
      <c r="K28" s="363"/>
    </row>
    <row r="29">
      <c r="E29" s="363"/>
      <c r="K29" s="363"/>
    </row>
    <row r="30">
      <c r="E30" s="363"/>
      <c r="K30" s="363"/>
    </row>
    <row r="31">
      <c r="E31" s="363"/>
      <c r="K31" s="363"/>
    </row>
    <row r="32">
      <c r="E32" s="363"/>
      <c r="K32" s="363"/>
    </row>
    <row r="33">
      <c r="E33" s="363"/>
      <c r="K33" s="363"/>
    </row>
    <row r="34">
      <c r="E34" s="363"/>
      <c r="K34" s="363"/>
    </row>
    <row r="35">
      <c r="E35" s="363"/>
      <c r="K35" s="363"/>
    </row>
    <row r="36">
      <c r="E36" s="363"/>
      <c r="K36" s="363"/>
    </row>
    <row r="37">
      <c r="E37" s="363"/>
      <c r="K37" s="363"/>
    </row>
    <row r="38">
      <c r="E38" s="363"/>
      <c r="K38" s="363"/>
    </row>
    <row r="39">
      <c r="E39" s="363"/>
      <c r="K39" s="363"/>
    </row>
    <row r="40">
      <c r="E40" s="363"/>
      <c r="K40" s="363"/>
    </row>
    <row r="41">
      <c r="E41" s="363"/>
      <c r="K41" s="363"/>
    </row>
    <row r="42">
      <c r="E42" s="363"/>
      <c r="K42" s="363"/>
    </row>
    <row r="43">
      <c r="E43" s="363"/>
      <c r="K43" s="363"/>
    </row>
    <row r="44">
      <c r="E44" s="363"/>
      <c r="K44" s="363"/>
    </row>
    <row r="45">
      <c r="E45" s="363"/>
      <c r="K45" s="363"/>
    </row>
    <row r="46">
      <c r="E46" s="363"/>
      <c r="K46" s="363"/>
    </row>
    <row r="47">
      <c r="E47" s="363"/>
      <c r="K47" s="363"/>
    </row>
    <row r="48">
      <c r="E48" s="363"/>
      <c r="K48" s="363"/>
    </row>
    <row r="49">
      <c r="E49" s="363"/>
      <c r="K49" s="363"/>
    </row>
    <row r="50">
      <c r="E50" s="363"/>
      <c r="K50" s="363"/>
    </row>
    <row r="51">
      <c r="E51" s="363"/>
      <c r="K51" s="363"/>
    </row>
    <row r="52">
      <c r="E52" s="363"/>
      <c r="K52" s="363"/>
    </row>
    <row r="53">
      <c r="E53" s="363"/>
      <c r="K53" s="363"/>
    </row>
    <row r="54">
      <c r="E54" s="363"/>
      <c r="K54" s="363"/>
    </row>
    <row r="55">
      <c r="E55" s="363"/>
      <c r="K55" s="363"/>
    </row>
    <row r="56">
      <c r="E56" s="363"/>
      <c r="K56" s="363"/>
    </row>
    <row r="57">
      <c r="E57" s="363"/>
      <c r="K57" s="363"/>
    </row>
    <row r="58">
      <c r="E58" s="363"/>
      <c r="K58" s="363"/>
    </row>
    <row r="59">
      <c r="E59" s="363"/>
      <c r="K59" s="363"/>
    </row>
    <row r="60">
      <c r="E60" s="363"/>
      <c r="K60" s="363"/>
    </row>
    <row r="61">
      <c r="E61" s="363"/>
      <c r="K61" s="363"/>
    </row>
    <row r="62">
      <c r="E62" s="363"/>
      <c r="K62" s="363"/>
    </row>
    <row r="63">
      <c r="E63" s="363"/>
      <c r="K63" s="363"/>
    </row>
    <row r="64">
      <c r="E64" s="363"/>
      <c r="K64" s="363"/>
    </row>
    <row r="65">
      <c r="E65" s="363"/>
      <c r="K65" s="363"/>
    </row>
    <row r="66">
      <c r="E66" s="363"/>
      <c r="K66" s="363"/>
    </row>
    <row r="67">
      <c r="E67" s="363"/>
      <c r="K67" s="363"/>
    </row>
    <row r="68">
      <c r="E68" s="363"/>
      <c r="K68" s="363"/>
    </row>
    <row r="69">
      <c r="E69" s="363"/>
      <c r="K69" s="363"/>
    </row>
    <row r="70">
      <c r="E70" s="363"/>
      <c r="K70" s="363"/>
    </row>
    <row r="71">
      <c r="E71" s="363"/>
      <c r="K71" s="363"/>
    </row>
    <row r="72">
      <c r="E72" s="363"/>
      <c r="K72" s="363"/>
    </row>
    <row r="73">
      <c r="E73" s="363"/>
      <c r="K73" s="363"/>
    </row>
    <row r="74">
      <c r="E74" s="363"/>
      <c r="K74" s="363"/>
    </row>
    <row r="75">
      <c r="E75" s="363"/>
      <c r="K75" s="363"/>
    </row>
    <row r="76">
      <c r="E76" s="363"/>
      <c r="K76" s="363"/>
    </row>
    <row r="77">
      <c r="E77" s="363"/>
      <c r="K77" s="363"/>
    </row>
    <row r="78">
      <c r="E78" s="363"/>
      <c r="K78" s="363"/>
    </row>
    <row r="79">
      <c r="E79" s="363"/>
      <c r="K79" s="363"/>
    </row>
    <row r="80">
      <c r="E80" s="363"/>
      <c r="K80" s="363"/>
    </row>
    <row r="81">
      <c r="E81" s="363"/>
      <c r="K81" s="363"/>
    </row>
    <row r="82">
      <c r="E82" s="363"/>
      <c r="K82" s="363"/>
    </row>
    <row r="83">
      <c r="E83" s="363"/>
      <c r="K83" s="363"/>
    </row>
    <row r="84">
      <c r="E84" s="363"/>
      <c r="K84" s="363"/>
    </row>
    <row r="85">
      <c r="E85" s="363"/>
      <c r="K85" s="363"/>
    </row>
    <row r="86">
      <c r="E86" s="363"/>
      <c r="K86" s="363"/>
    </row>
    <row r="87">
      <c r="E87" s="363"/>
      <c r="K87" s="363"/>
    </row>
    <row r="88">
      <c r="E88" s="363"/>
      <c r="K88" s="363"/>
    </row>
    <row r="89">
      <c r="E89" s="363"/>
      <c r="K89" s="363"/>
    </row>
    <row r="90">
      <c r="E90" s="363"/>
      <c r="K90" s="363"/>
    </row>
    <row r="91">
      <c r="E91" s="363"/>
      <c r="K91" s="363"/>
    </row>
    <row r="92">
      <c r="E92" s="363"/>
      <c r="K92" s="363"/>
    </row>
    <row r="93">
      <c r="E93" s="363"/>
      <c r="K93" s="363"/>
    </row>
    <row r="94">
      <c r="E94" s="363"/>
      <c r="K94" s="363"/>
    </row>
    <row r="95">
      <c r="E95" s="363"/>
      <c r="K95" s="363"/>
    </row>
    <row r="96">
      <c r="E96" s="363"/>
      <c r="K96" s="363"/>
    </row>
    <row r="97">
      <c r="E97" s="363"/>
      <c r="K97" s="363"/>
    </row>
    <row r="98">
      <c r="E98" s="363"/>
      <c r="K98" s="363"/>
    </row>
    <row r="99">
      <c r="E99" s="363"/>
      <c r="K99" s="363"/>
    </row>
    <row r="100">
      <c r="E100" s="363"/>
      <c r="K100" s="363"/>
    </row>
    <row r="101">
      <c r="E101" s="363"/>
      <c r="K101" s="363"/>
    </row>
    <row r="102">
      <c r="E102" s="363"/>
      <c r="K102" s="363"/>
    </row>
    <row r="103">
      <c r="E103" s="363"/>
      <c r="K103" s="363"/>
    </row>
    <row r="104">
      <c r="E104" s="363"/>
      <c r="K104" s="363"/>
    </row>
    <row r="105">
      <c r="E105" s="363"/>
      <c r="K105" s="363"/>
    </row>
    <row r="106">
      <c r="E106" s="363"/>
      <c r="K106" s="363"/>
    </row>
    <row r="107">
      <c r="E107" s="363"/>
      <c r="K107" s="363"/>
    </row>
    <row r="108">
      <c r="E108" s="363"/>
      <c r="K108" s="363"/>
    </row>
    <row r="109">
      <c r="E109" s="363"/>
      <c r="K109" s="363"/>
    </row>
    <row r="110">
      <c r="E110" s="363"/>
      <c r="K110" s="363"/>
    </row>
    <row r="111">
      <c r="E111" s="363"/>
      <c r="K111" s="363"/>
    </row>
    <row r="112">
      <c r="E112" s="363"/>
      <c r="K112" s="363"/>
    </row>
    <row r="113">
      <c r="E113" s="363"/>
      <c r="K113" s="363"/>
    </row>
    <row r="114">
      <c r="E114" s="363"/>
      <c r="K114" s="363"/>
    </row>
    <row r="115">
      <c r="E115" s="363"/>
      <c r="K115" s="363"/>
    </row>
    <row r="116">
      <c r="E116" s="363"/>
      <c r="K116" s="363"/>
    </row>
    <row r="117">
      <c r="E117" s="363"/>
      <c r="K117" s="363"/>
    </row>
    <row r="118">
      <c r="E118" s="363"/>
      <c r="K118" s="363"/>
    </row>
    <row r="119">
      <c r="E119" s="363"/>
      <c r="K119" s="363"/>
    </row>
    <row r="120">
      <c r="E120" s="363"/>
      <c r="K120" s="363"/>
    </row>
    <row r="121">
      <c r="E121" s="363"/>
      <c r="K121" s="363"/>
    </row>
    <row r="122">
      <c r="E122" s="363"/>
      <c r="K122" s="363"/>
    </row>
    <row r="123">
      <c r="E123" s="363"/>
      <c r="K123" s="363"/>
    </row>
    <row r="124">
      <c r="E124" s="363"/>
      <c r="K124" s="363"/>
    </row>
    <row r="125">
      <c r="E125" s="363"/>
      <c r="K125" s="363"/>
    </row>
    <row r="126">
      <c r="E126" s="363"/>
      <c r="K126" s="363"/>
    </row>
    <row r="127">
      <c r="E127" s="363"/>
      <c r="K127" s="363"/>
    </row>
    <row r="128">
      <c r="E128" s="363"/>
      <c r="K128" s="363"/>
    </row>
    <row r="129">
      <c r="E129" s="363"/>
      <c r="K129" s="363"/>
    </row>
    <row r="130">
      <c r="E130" s="363"/>
      <c r="K130" s="363"/>
    </row>
    <row r="131">
      <c r="E131" s="363"/>
      <c r="K131" s="363"/>
    </row>
    <row r="132">
      <c r="E132" s="363"/>
      <c r="K132" s="363"/>
    </row>
    <row r="133">
      <c r="E133" s="363"/>
      <c r="K133" s="363"/>
    </row>
    <row r="134">
      <c r="E134" s="363"/>
      <c r="K134" s="363"/>
    </row>
    <row r="135">
      <c r="E135" s="363"/>
      <c r="K135" s="363"/>
    </row>
    <row r="136">
      <c r="E136" s="363"/>
      <c r="K136" s="363"/>
    </row>
    <row r="137">
      <c r="E137" s="363"/>
      <c r="K137" s="363"/>
    </row>
    <row r="138">
      <c r="E138" s="363"/>
      <c r="K138" s="363"/>
    </row>
    <row r="139">
      <c r="E139" s="363"/>
      <c r="K139" s="363"/>
    </row>
    <row r="140">
      <c r="E140" s="363"/>
      <c r="K140" s="363"/>
    </row>
    <row r="141">
      <c r="E141" s="363"/>
      <c r="K141" s="363"/>
    </row>
    <row r="142">
      <c r="E142" s="363"/>
      <c r="K142" s="363"/>
    </row>
    <row r="143">
      <c r="E143" s="363"/>
      <c r="K143" s="363"/>
    </row>
    <row r="144">
      <c r="E144" s="363"/>
      <c r="K144" s="363"/>
    </row>
    <row r="145">
      <c r="E145" s="363"/>
      <c r="K145" s="363"/>
    </row>
    <row r="146">
      <c r="E146" s="363"/>
      <c r="K146" s="363"/>
    </row>
    <row r="147">
      <c r="E147" s="363"/>
      <c r="K147" s="363"/>
    </row>
    <row r="148">
      <c r="E148" s="363"/>
      <c r="K148" s="363"/>
    </row>
    <row r="149">
      <c r="E149" s="363"/>
      <c r="K149" s="363"/>
    </row>
    <row r="150">
      <c r="E150" s="363"/>
      <c r="K150" s="363"/>
    </row>
    <row r="151">
      <c r="E151" s="363"/>
      <c r="K151" s="363"/>
    </row>
    <row r="152">
      <c r="E152" s="363"/>
      <c r="K152" s="363"/>
    </row>
    <row r="153">
      <c r="E153" s="363"/>
      <c r="K153" s="363"/>
    </row>
    <row r="154">
      <c r="E154" s="363"/>
      <c r="K154" s="363"/>
    </row>
    <row r="155">
      <c r="E155" s="363"/>
      <c r="K155" s="363"/>
    </row>
    <row r="156">
      <c r="E156" s="363"/>
      <c r="K156" s="363"/>
    </row>
    <row r="157">
      <c r="E157" s="363"/>
      <c r="K157" s="363"/>
    </row>
    <row r="158">
      <c r="E158" s="363"/>
      <c r="K158" s="363"/>
    </row>
    <row r="159">
      <c r="E159" s="363"/>
      <c r="K159" s="363"/>
    </row>
    <row r="160">
      <c r="E160" s="363"/>
      <c r="K160" s="363"/>
    </row>
    <row r="161">
      <c r="E161" s="363"/>
      <c r="K161" s="363"/>
    </row>
    <row r="162">
      <c r="E162" s="363"/>
      <c r="K162" s="363"/>
    </row>
    <row r="163">
      <c r="E163" s="363"/>
      <c r="K163" s="363"/>
    </row>
    <row r="164">
      <c r="E164" s="363"/>
      <c r="K164" s="363"/>
    </row>
    <row r="165">
      <c r="E165" s="363"/>
      <c r="K165" s="363"/>
    </row>
    <row r="166">
      <c r="E166" s="363"/>
      <c r="K166" s="363"/>
    </row>
    <row r="167">
      <c r="E167" s="363"/>
      <c r="K167" s="363"/>
    </row>
    <row r="168">
      <c r="E168" s="363"/>
      <c r="K168" s="363"/>
    </row>
    <row r="169">
      <c r="E169" s="363"/>
      <c r="K169" s="363"/>
    </row>
    <row r="170">
      <c r="E170" s="363"/>
      <c r="K170" s="363"/>
    </row>
    <row r="171">
      <c r="E171" s="363"/>
      <c r="K171" s="363"/>
    </row>
    <row r="172">
      <c r="E172" s="363"/>
      <c r="K172" s="363"/>
    </row>
    <row r="173">
      <c r="E173" s="363"/>
      <c r="K173" s="363"/>
    </row>
    <row r="174">
      <c r="E174" s="363"/>
      <c r="K174" s="363"/>
    </row>
    <row r="175">
      <c r="E175" s="363"/>
      <c r="K175" s="363"/>
    </row>
    <row r="176">
      <c r="E176" s="363"/>
      <c r="K176" s="363"/>
    </row>
    <row r="177">
      <c r="E177" s="363"/>
      <c r="K177" s="363"/>
    </row>
    <row r="178">
      <c r="E178" s="363"/>
      <c r="K178" s="363"/>
    </row>
    <row r="179">
      <c r="E179" s="363"/>
      <c r="K179" s="363"/>
    </row>
    <row r="180">
      <c r="E180" s="363"/>
      <c r="K180" s="363"/>
    </row>
    <row r="181">
      <c r="E181" s="363"/>
      <c r="K181" s="363"/>
    </row>
    <row r="182">
      <c r="E182" s="363"/>
      <c r="K182" s="363"/>
    </row>
    <row r="183">
      <c r="E183" s="363"/>
      <c r="K183" s="363"/>
    </row>
    <row r="184">
      <c r="E184" s="363"/>
      <c r="K184" s="363"/>
    </row>
    <row r="185">
      <c r="E185" s="363"/>
      <c r="K185" s="363"/>
    </row>
    <row r="186">
      <c r="E186" s="363"/>
      <c r="K186" s="363"/>
    </row>
    <row r="187">
      <c r="E187" s="363"/>
      <c r="K187" s="363"/>
    </row>
    <row r="188">
      <c r="E188" s="363"/>
      <c r="K188" s="363"/>
    </row>
    <row r="189">
      <c r="E189" s="363"/>
      <c r="K189" s="363"/>
    </row>
    <row r="190">
      <c r="E190" s="363"/>
      <c r="K190" s="363"/>
    </row>
    <row r="191">
      <c r="E191" s="363"/>
      <c r="K191" s="363"/>
    </row>
    <row r="192">
      <c r="E192" s="363"/>
      <c r="K192" s="363"/>
    </row>
    <row r="193">
      <c r="E193" s="363"/>
      <c r="K193" s="363"/>
    </row>
    <row r="194">
      <c r="E194" s="363"/>
      <c r="K194" s="363"/>
    </row>
    <row r="195">
      <c r="E195" s="363"/>
      <c r="K195" s="363"/>
    </row>
    <row r="196">
      <c r="E196" s="363"/>
      <c r="K196" s="363"/>
    </row>
    <row r="197">
      <c r="E197" s="363"/>
      <c r="K197" s="363"/>
    </row>
    <row r="198">
      <c r="E198" s="363"/>
      <c r="K198" s="363"/>
    </row>
    <row r="199">
      <c r="E199" s="363"/>
      <c r="K199" s="363"/>
    </row>
    <row r="200">
      <c r="E200" s="363"/>
      <c r="K200" s="363"/>
    </row>
    <row r="201">
      <c r="E201" s="363"/>
      <c r="K201" s="363"/>
    </row>
    <row r="202">
      <c r="E202" s="363"/>
      <c r="K202" s="363"/>
    </row>
    <row r="203">
      <c r="E203" s="363"/>
      <c r="K203" s="363"/>
    </row>
    <row r="204">
      <c r="E204" s="363"/>
      <c r="K204" s="363"/>
    </row>
    <row r="205">
      <c r="E205" s="363"/>
      <c r="K205" s="363"/>
    </row>
    <row r="206">
      <c r="E206" s="363"/>
      <c r="K206" s="363"/>
    </row>
    <row r="207">
      <c r="E207" s="363"/>
      <c r="K207" s="363"/>
    </row>
    <row r="208">
      <c r="E208" s="363"/>
      <c r="K208" s="363"/>
    </row>
    <row r="209">
      <c r="E209" s="363"/>
      <c r="K209" s="363"/>
    </row>
    <row r="210">
      <c r="E210" s="363"/>
      <c r="K210" s="363"/>
    </row>
    <row r="211">
      <c r="E211" s="363"/>
      <c r="K211" s="363"/>
    </row>
    <row r="212">
      <c r="E212" s="363"/>
      <c r="K212" s="363"/>
    </row>
    <row r="213">
      <c r="E213" s="363"/>
      <c r="K213" s="363"/>
    </row>
    <row r="214">
      <c r="E214" s="363"/>
      <c r="K214" s="363"/>
    </row>
    <row r="215">
      <c r="E215" s="363"/>
      <c r="K215" s="363"/>
    </row>
    <row r="216">
      <c r="E216" s="363"/>
      <c r="K216" s="363"/>
    </row>
    <row r="217">
      <c r="E217" s="363"/>
      <c r="K217" s="363"/>
    </row>
    <row r="218">
      <c r="E218" s="363"/>
      <c r="K218" s="363"/>
    </row>
    <row r="219">
      <c r="E219" s="363"/>
      <c r="K219" s="363"/>
    </row>
    <row r="220">
      <c r="E220" s="363"/>
      <c r="K220" s="363"/>
    </row>
    <row r="221">
      <c r="E221" s="363"/>
      <c r="K221" s="363"/>
    </row>
    <row r="222">
      <c r="E222" s="363"/>
      <c r="K222" s="363"/>
    </row>
    <row r="223">
      <c r="E223" s="363"/>
      <c r="K223" s="363"/>
    </row>
    <row r="224">
      <c r="E224" s="363"/>
      <c r="K224" s="363"/>
    </row>
    <row r="225">
      <c r="E225" s="363"/>
      <c r="K225" s="363"/>
    </row>
    <row r="226">
      <c r="E226" s="363"/>
      <c r="K226" s="363"/>
    </row>
    <row r="227">
      <c r="E227" s="363"/>
      <c r="K227" s="363"/>
    </row>
    <row r="228">
      <c r="E228" s="363"/>
      <c r="K228" s="363"/>
    </row>
    <row r="229">
      <c r="E229" s="363"/>
      <c r="K229" s="363"/>
    </row>
    <row r="230">
      <c r="E230" s="363"/>
      <c r="K230" s="363"/>
    </row>
    <row r="231">
      <c r="E231" s="363"/>
      <c r="K231" s="363"/>
    </row>
    <row r="232">
      <c r="E232" s="363"/>
      <c r="K232" s="363"/>
    </row>
    <row r="233">
      <c r="E233" s="363"/>
      <c r="K233" s="363"/>
    </row>
    <row r="234">
      <c r="E234" s="363"/>
      <c r="K234" s="363"/>
    </row>
    <row r="235">
      <c r="E235" s="363"/>
      <c r="K235" s="363"/>
    </row>
    <row r="236">
      <c r="E236" s="363"/>
      <c r="K236" s="363"/>
    </row>
    <row r="237">
      <c r="E237" s="363"/>
      <c r="K237" s="363"/>
    </row>
    <row r="238">
      <c r="E238" s="363"/>
      <c r="K238" s="363"/>
    </row>
    <row r="239">
      <c r="E239" s="363"/>
      <c r="K239" s="363"/>
    </row>
    <row r="240">
      <c r="E240" s="363"/>
      <c r="K240" s="363"/>
    </row>
    <row r="241">
      <c r="E241" s="363"/>
      <c r="K241" s="363"/>
    </row>
    <row r="242">
      <c r="E242" s="363"/>
      <c r="K242" s="363"/>
    </row>
    <row r="243">
      <c r="E243" s="363"/>
      <c r="K243" s="363"/>
    </row>
    <row r="244">
      <c r="E244" s="363"/>
      <c r="K244" s="363"/>
    </row>
    <row r="245">
      <c r="E245" s="363"/>
      <c r="K245" s="363"/>
    </row>
    <row r="246">
      <c r="E246" s="363"/>
      <c r="K246" s="363"/>
    </row>
    <row r="247">
      <c r="E247" s="363"/>
      <c r="K247" s="363"/>
    </row>
    <row r="248">
      <c r="E248" s="363"/>
      <c r="K248" s="363"/>
    </row>
    <row r="249">
      <c r="E249" s="363"/>
      <c r="K249" s="363"/>
    </row>
    <row r="250">
      <c r="E250" s="363"/>
      <c r="K250" s="363"/>
    </row>
    <row r="251">
      <c r="E251" s="363"/>
      <c r="K251" s="363"/>
    </row>
    <row r="252">
      <c r="E252" s="363"/>
      <c r="K252" s="363"/>
    </row>
    <row r="253">
      <c r="E253" s="363"/>
      <c r="K253" s="363"/>
    </row>
    <row r="254">
      <c r="E254" s="363"/>
      <c r="K254" s="363"/>
    </row>
    <row r="255">
      <c r="E255" s="363"/>
      <c r="K255" s="363"/>
    </row>
    <row r="256">
      <c r="E256" s="363"/>
      <c r="K256" s="363"/>
    </row>
    <row r="257">
      <c r="E257" s="363"/>
      <c r="K257" s="363"/>
    </row>
    <row r="258">
      <c r="E258" s="363"/>
      <c r="K258" s="363"/>
    </row>
    <row r="259">
      <c r="E259" s="363"/>
      <c r="K259" s="363"/>
    </row>
    <row r="260">
      <c r="E260" s="363"/>
      <c r="K260" s="363"/>
    </row>
    <row r="261">
      <c r="E261" s="363"/>
      <c r="K261" s="363"/>
    </row>
    <row r="262">
      <c r="E262" s="363"/>
      <c r="K262" s="363"/>
    </row>
    <row r="263">
      <c r="E263" s="363"/>
      <c r="K263" s="363"/>
    </row>
    <row r="264">
      <c r="E264" s="363"/>
      <c r="K264" s="363"/>
    </row>
    <row r="265">
      <c r="E265" s="363"/>
      <c r="K265" s="363"/>
    </row>
    <row r="266">
      <c r="E266" s="363"/>
      <c r="K266" s="363"/>
    </row>
    <row r="267">
      <c r="E267" s="363"/>
      <c r="K267" s="363"/>
    </row>
    <row r="268">
      <c r="E268" s="363"/>
      <c r="K268" s="363"/>
    </row>
    <row r="269">
      <c r="E269" s="363"/>
      <c r="K269" s="363"/>
    </row>
    <row r="270">
      <c r="E270" s="363"/>
      <c r="K270" s="363"/>
    </row>
    <row r="271">
      <c r="E271" s="363"/>
      <c r="K271" s="363"/>
    </row>
    <row r="272">
      <c r="E272" s="363"/>
      <c r="K272" s="363"/>
    </row>
    <row r="273">
      <c r="E273" s="363"/>
      <c r="K273" s="363"/>
    </row>
    <row r="274">
      <c r="E274" s="363"/>
      <c r="K274" s="363"/>
    </row>
    <row r="275">
      <c r="E275" s="363"/>
      <c r="K275" s="363"/>
    </row>
    <row r="276">
      <c r="E276" s="363"/>
      <c r="K276" s="363"/>
    </row>
    <row r="277">
      <c r="E277" s="363"/>
      <c r="K277" s="363"/>
    </row>
    <row r="278">
      <c r="E278" s="363"/>
      <c r="K278" s="363"/>
    </row>
    <row r="279">
      <c r="E279" s="363"/>
      <c r="K279" s="363"/>
    </row>
    <row r="280">
      <c r="E280" s="363"/>
      <c r="K280" s="363"/>
    </row>
    <row r="281">
      <c r="E281" s="363"/>
      <c r="K281" s="363"/>
    </row>
    <row r="282">
      <c r="E282" s="363"/>
      <c r="K282" s="363"/>
    </row>
    <row r="283">
      <c r="E283" s="363"/>
      <c r="K283" s="363"/>
    </row>
    <row r="284">
      <c r="E284" s="363"/>
      <c r="K284" s="363"/>
    </row>
    <row r="285">
      <c r="E285" s="363"/>
      <c r="K285" s="363"/>
    </row>
    <row r="286">
      <c r="E286" s="363"/>
      <c r="K286" s="363"/>
    </row>
    <row r="287">
      <c r="E287" s="363"/>
      <c r="K287" s="363"/>
    </row>
    <row r="288">
      <c r="E288" s="363"/>
      <c r="K288" s="363"/>
    </row>
    <row r="289">
      <c r="E289" s="363"/>
      <c r="K289" s="363"/>
    </row>
    <row r="290">
      <c r="E290" s="363"/>
      <c r="K290" s="363"/>
    </row>
    <row r="291">
      <c r="E291" s="363"/>
      <c r="K291" s="363"/>
    </row>
    <row r="292">
      <c r="E292" s="363"/>
      <c r="K292" s="363"/>
    </row>
    <row r="293">
      <c r="E293" s="363"/>
      <c r="K293" s="363"/>
    </row>
    <row r="294">
      <c r="E294" s="363"/>
      <c r="K294" s="363"/>
    </row>
    <row r="295">
      <c r="E295" s="363"/>
      <c r="K295" s="363"/>
    </row>
    <row r="296">
      <c r="E296" s="363"/>
      <c r="K296" s="363"/>
    </row>
    <row r="297">
      <c r="E297" s="363"/>
      <c r="K297" s="363"/>
    </row>
    <row r="298">
      <c r="E298" s="363"/>
      <c r="K298" s="363"/>
    </row>
    <row r="299">
      <c r="E299" s="363"/>
      <c r="K299" s="363"/>
    </row>
    <row r="300">
      <c r="E300" s="363"/>
      <c r="K300" s="363"/>
    </row>
    <row r="301">
      <c r="E301" s="363"/>
      <c r="K301" s="363"/>
    </row>
    <row r="302">
      <c r="E302" s="363"/>
      <c r="K302" s="363"/>
    </row>
    <row r="303">
      <c r="E303" s="363"/>
      <c r="K303" s="363"/>
    </row>
    <row r="304">
      <c r="E304" s="363"/>
      <c r="K304" s="363"/>
    </row>
    <row r="305">
      <c r="E305" s="363"/>
      <c r="K305" s="363"/>
    </row>
    <row r="306">
      <c r="E306" s="363"/>
      <c r="K306" s="363"/>
    </row>
    <row r="307">
      <c r="E307" s="363"/>
      <c r="K307" s="363"/>
    </row>
    <row r="308">
      <c r="E308" s="363"/>
      <c r="K308" s="363"/>
    </row>
    <row r="309">
      <c r="E309" s="363"/>
      <c r="K309" s="363"/>
    </row>
    <row r="310">
      <c r="E310" s="363"/>
      <c r="K310" s="363"/>
    </row>
    <row r="311">
      <c r="E311" s="363"/>
      <c r="K311" s="363"/>
    </row>
    <row r="312">
      <c r="E312" s="363"/>
      <c r="K312" s="363"/>
    </row>
    <row r="313">
      <c r="E313" s="363"/>
      <c r="K313" s="363"/>
    </row>
    <row r="314">
      <c r="E314" s="363"/>
      <c r="K314" s="363"/>
    </row>
    <row r="315">
      <c r="E315" s="363"/>
      <c r="K315" s="363"/>
    </row>
    <row r="316">
      <c r="E316" s="363"/>
      <c r="K316" s="363"/>
    </row>
    <row r="317">
      <c r="E317" s="363"/>
      <c r="K317" s="363"/>
    </row>
    <row r="318">
      <c r="E318" s="363"/>
      <c r="K318" s="363"/>
    </row>
    <row r="319">
      <c r="E319" s="363"/>
      <c r="K319" s="363"/>
    </row>
    <row r="320">
      <c r="E320" s="363"/>
      <c r="K320" s="363"/>
    </row>
    <row r="321">
      <c r="E321" s="363"/>
      <c r="K321" s="363"/>
    </row>
    <row r="322">
      <c r="E322" s="363"/>
      <c r="K322" s="363"/>
    </row>
    <row r="323">
      <c r="E323" s="363"/>
      <c r="K323" s="363"/>
    </row>
    <row r="324">
      <c r="E324" s="363"/>
      <c r="K324" s="363"/>
    </row>
    <row r="325">
      <c r="E325" s="363"/>
      <c r="K325" s="363"/>
    </row>
    <row r="326">
      <c r="E326" s="363"/>
      <c r="K326" s="363"/>
    </row>
    <row r="327">
      <c r="E327" s="363"/>
      <c r="K327" s="363"/>
    </row>
    <row r="328">
      <c r="E328" s="363"/>
      <c r="K328" s="363"/>
    </row>
    <row r="329">
      <c r="E329" s="363"/>
      <c r="K329" s="363"/>
    </row>
    <row r="330">
      <c r="E330" s="363"/>
      <c r="K330" s="363"/>
    </row>
    <row r="331">
      <c r="E331" s="363"/>
      <c r="K331" s="363"/>
    </row>
    <row r="332">
      <c r="E332" s="363"/>
      <c r="K332" s="363"/>
    </row>
    <row r="333">
      <c r="E333" s="363"/>
      <c r="K333" s="363"/>
    </row>
    <row r="334">
      <c r="E334" s="363"/>
      <c r="K334" s="363"/>
    </row>
    <row r="335">
      <c r="E335" s="363"/>
      <c r="K335" s="363"/>
    </row>
    <row r="336">
      <c r="E336" s="363"/>
      <c r="K336" s="363"/>
    </row>
    <row r="337">
      <c r="E337" s="363"/>
      <c r="K337" s="363"/>
    </row>
    <row r="338">
      <c r="E338" s="363"/>
      <c r="K338" s="363"/>
    </row>
    <row r="339">
      <c r="E339" s="363"/>
      <c r="K339" s="363"/>
    </row>
    <row r="340">
      <c r="E340" s="363"/>
      <c r="K340" s="363"/>
    </row>
    <row r="341">
      <c r="E341" s="363"/>
      <c r="K341" s="363"/>
    </row>
    <row r="342">
      <c r="E342" s="363"/>
      <c r="K342" s="363"/>
    </row>
    <row r="343">
      <c r="E343" s="363"/>
      <c r="K343" s="363"/>
    </row>
    <row r="344">
      <c r="E344" s="363"/>
      <c r="K344" s="363"/>
    </row>
    <row r="345">
      <c r="E345" s="363"/>
      <c r="K345" s="363"/>
    </row>
    <row r="346">
      <c r="E346" s="363"/>
      <c r="K346" s="363"/>
    </row>
    <row r="347">
      <c r="E347" s="363"/>
      <c r="K347" s="363"/>
    </row>
    <row r="348">
      <c r="E348" s="363"/>
      <c r="K348" s="363"/>
    </row>
    <row r="349">
      <c r="E349" s="363"/>
      <c r="K349" s="363"/>
    </row>
    <row r="350">
      <c r="E350" s="363"/>
      <c r="K350" s="363"/>
    </row>
    <row r="351">
      <c r="E351" s="363"/>
      <c r="K351" s="363"/>
    </row>
    <row r="352">
      <c r="E352" s="363"/>
      <c r="K352" s="363"/>
    </row>
    <row r="353">
      <c r="E353" s="363"/>
      <c r="K353" s="363"/>
    </row>
    <row r="354">
      <c r="E354" s="363"/>
      <c r="K354" s="363"/>
    </row>
    <row r="355">
      <c r="E355" s="363"/>
      <c r="K355" s="363"/>
    </row>
    <row r="356">
      <c r="E356" s="363"/>
      <c r="K356" s="363"/>
    </row>
    <row r="357">
      <c r="E357" s="363"/>
      <c r="K357" s="363"/>
    </row>
    <row r="358">
      <c r="E358" s="363"/>
      <c r="K358" s="363"/>
    </row>
    <row r="359">
      <c r="E359" s="363"/>
      <c r="K359" s="363"/>
    </row>
    <row r="360">
      <c r="E360" s="363"/>
      <c r="K360" s="363"/>
    </row>
    <row r="361">
      <c r="E361" s="363"/>
      <c r="K361" s="363"/>
    </row>
    <row r="362">
      <c r="E362" s="363"/>
      <c r="K362" s="363"/>
    </row>
    <row r="363">
      <c r="E363" s="363"/>
      <c r="K363" s="363"/>
    </row>
    <row r="364">
      <c r="E364" s="363"/>
      <c r="K364" s="363"/>
    </row>
    <row r="365">
      <c r="E365" s="363"/>
      <c r="K365" s="363"/>
    </row>
    <row r="366">
      <c r="E366" s="363"/>
      <c r="K366" s="363"/>
    </row>
    <row r="367">
      <c r="E367" s="363"/>
      <c r="K367" s="363"/>
    </row>
    <row r="368">
      <c r="E368" s="363"/>
      <c r="K368" s="363"/>
    </row>
    <row r="369">
      <c r="E369" s="363"/>
      <c r="K369" s="363"/>
    </row>
    <row r="370">
      <c r="E370" s="363"/>
      <c r="K370" s="363"/>
    </row>
    <row r="371">
      <c r="E371" s="363"/>
      <c r="K371" s="363"/>
    </row>
    <row r="372">
      <c r="E372" s="363"/>
      <c r="K372" s="363"/>
    </row>
    <row r="373">
      <c r="E373" s="363"/>
      <c r="K373" s="363"/>
    </row>
    <row r="374">
      <c r="E374" s="363"/>
      <c r="K374" s="363"/>
    </row>
    <row r="375">
      <c r="E375" s="363"/>
      <c r="K375" s="363"/>
    </row>
    <row r="376">
      <c r="E376" s="363"/>
      <c r="K376" s="363"/>
    </row>
    <row r="377">
      <c r="E377" s="363"/>
      <c r="K377" s="363"/>
    </row>
    <row r="378">
      <c r="E378" s="363"/>
      <c r="K378" s="363"/>
    </row>
    <row r="379">
      <c r="E379" s="363"/>
      <c r="K379" s="363"/>
    </row>
    <row r="380">
      <c r="E380" s="363"/>
      <c r="K380" s="363"/>
    </row>
    <row r="381">
      <c r="E381" s="363"/>
      <c r="K381" s="363"/>
    </row>
    <row r="382">
      <c r="E382" s="363"/>
      <c r="K382" s="363"/>
    </row>
    <row r="383">
      <c r="E383" s="363"/>
      <c r="K383" s="363"/>
    </row>
    <row r="384">
      <c r="E384" s="363"/>
      <c r="K384" s="363"/>
    </row>
    <row r="385">
      <c r="E385" s="363"/>
      <c r="K385" s="363"/>
    </row>
    <row r="386">
      <c r="E386" s="363"/>
      <c r="K386" s="363"/>
    </row>
    <row r="387">
      <c r="E387" s="363"/>
      <c r="K387" s="363"/>
    </row>
    <row r="388">
      <c r="E388" s="363"/>
      <c r="K388" s="363"/>
    </row>
    <row r="389">
      <c r="E389" s="363"/>
      <c r="K389" s="363"/>
    </row>
    <row r="390">
      <c r="E390" s="363"/>
      <c r="K390" s="363"/>
    </row>
    <row r="391">
      <c r="E391" s="363"/>
      <c r="K391" s="363"/>
    </row>
    <row r="392">
      <c r="E392" s="363"/>
      <c r="K392" s="363"/>
    </row>
    <row r="393">
      <c r="E393" s="363"/>
      <c r="K393" s="363"/>
    </row>
    <row r="394">
      <c r="E394" s="363"/>
      <c r="K394" s="363"/>
    </row>
    <row r="395">
      <c r="E395" s="363"/>
      <c r="K395" s="363"/>
    </row>
    <row r="396">
      <c r="E396" s="363"/>
      <c r="K396" s="363"/>
    </row>
    <row r="397">
      <c r="E397" s="363"/>
      <c r="K397" s="363"/>
    </row>
    <row r="398">
      <c r="E398" s="363"/>
      <c r="K398" s="363"/>
    </row>
    <row r="399">
      <c r="E399" s="363"/>
      <c r="K399" s="363"/>
    </row>
    <row r="400">
      <c r="E400" s="363"/>
      <c r="K400" s="363"/>
    </row>
    <row r="401">
      <c r="E401" s="363"/>
      <c r="K401" s="363"/>
    </row>
    <row r="402">
      <c r="E402" s="363"/>
      <c r="K402" s="363"/>
    </row>
    <row r="403">
      <c r="E403" s="363"/>
      <c r="K403" s="363"/>
    </row>
    <row r="404">
      <c r="E404" s="363"/>
      <c r="K404" s="363"/>
    </row>
    <row r="405">
      <c r="E405" s="363"/>
      <c r="K405" s="363"/>
    </row>
    <row r="406">
      <c r="E406" s="363"/>
      <c r="K406" s="363"/>
    </row>
    <row r="407">
      <c r="E407" s="363"/>
      <c r="K407" s="363"/>
    </row>
    <row r="408">
      <c r="E408" s="363"/>
      <c r="K408" s="363"/>
    </row>
    <row r="409">
      <c r="E409" s="363"/>
      <c r="K409" s="363"/>
    </row>
    <row r="410">
      <c r="E410" s="363"/>
      <c r="K410" s="363"/>
    </row>
    <row r="411">
      <c r="E411" s="363"/>
      <c r="K411" s="363"/>
    </row>
    <row r="412">
      <c r="E412" s="363"/>
      <c r="K412" s="363"/>
    </row>
    <row r="413">
      <c r="E413" s="363"/>
      <c r="K413" s="363"/>
    </row>
    <row r="414">
      <c r="E414" s="363"/>
      <c r="K414" s="363"/>
    </row>
    <row r="415">
      <c r="E415" s="363"/>
      <c r="K415" s="363"/>
    </row>
    <row r="416">
      <c r="E416" s="363"/>
      <c r="K416" s="363"/>
    </row>
    <row r="417">
      <c r="E417" s="363"/>
      <c r="K417" s="363"/>
    </row>
    <row r="418">
      <c r="E418" s="363"/>
      <c r="K418" s="363"/>
    </row>
    <row r="419">
      <c r="E419" s="363"/>
      <c r="K419" s="363"/>
    </row>
    <row r="420">
      <c r="E420" s="363"/>
      <c r="K420" s="363"/>
    </row>
    <row r="421">
      <c r="E421" s="363"/>
      <c r="K421" s="363"/>
    </row>
    <row r="422">
      <c r="E422" s="363"/>
      <c r="K422" s="363"/>
    </row>
    <row r="423">
      <c r="E423" s="363"/>
      <c r="K423" s="363"/>
    </row>
    <row r="424">
      <c r="E424" s="363"/>
      <c r="K424" s="363"/>
    </row>
    <row r="425">
      <c r="E425" s="363"/>
      <c r="K425" s="363"/>
    </row>
    <row r="426">
      <c r="E426" s="363"/>
      <c r="K426" s="363"/>
    </row>
    <row r="427">
      <c r="E427" s="363"/>
      <c r="K427" s="363"/>
    </row>
    <row r="428">
      <c r="E428" s="363"/>
      <c r="K428" s="363"/>
    </row>
    <row r="429">
      <c r="E429" s="363"/>
      <c r="K429" s="363"/>
    </row>
    <row r="430">
      <c r="E430" s="363"/>
      <c r="K430" s="363"/>
    </row>
    <row r="431">
      <c r="E431" s="363"/>
      <c r="K431" s="363"/>
    </row>
    <row r="432">
      <c r="E432" s="363"/>
      <c r="K432" s="363"/>
    </row>
    <row r="433">
      <c r="E433" s="363"/>
      <c r="K433" s="363"/>
    </row>
    <row r="434">
      <c r="E434" s="363"/>
      <c r="K434" s="363"/>
    </row>
    <row r="435">
      <c r="E435" s="363"/>
      <c r="K435" s="363"/>
    </row>
    <row r="436">
      <c r="E436" s="363"/>
      <c r="K436" s="363"/>
    </row>
    <row r="437">
      <c r="E437" s="363"/>
      <c r="K437" s="363"/>
    </row>
    <row r="438">
      <c r="E438" s="363"/>
      <c r="K438" s="363"/>
    </row>
    <row r="439">
      <c r="E439" s="363"/>
      <c r="K439" s="363"/>
    </row>
    <row r="440">
      <c r="E440" s="363"/>
      <c r="K440" s="363"/>
    </row>
    <row r="441">
      <c r="E441" s="363"/>
      <c r="K441" s="363"/>
    </row>
    <row r="442">
      <c r="E442" s="363"/>
      <c r="K442" s="363"/>
    </row>
    <row r="443">
      <c r="E443" s="363"/>
      <c r="K443" s="363"/>
    </row>
    <row r="444">
      <c r="E444" s="363"/>
      <c r="K444" s="363"/>
    </row>
    <row r="445">
      <c r="E445" s="363"/>
      <c r="K445" s="363"/>
    </row>
    <row r="446">
      <c r="E446" s="363"/>
      <c r="K446" s="363"/>
    </row>
    <row r="447">
      <c r="E447" s="363"/>
      <c r="K447" s="363"/>
    </row>
    <row r="448">
      <c r="E448" s="363"/>
      <c r="K448" s="363"/>
    </row>
    <row r="449">
      <c r="E449" s="363"/>
      <c r="K449" s="363"/>
    </row>
    <row r="450">
      <c r="E450" s="363"/>
      <c r="K450" s="363"/>
    </row>
    <row r="451">
      <c r="E451" s="363"/>
      <c r="K451" s="363"/>
    </row>
    <row r="452">
      <c r="E452" s="363"/>
      <c r="K452" s="363"/>
    </row>
    <row r="453">
      <c r="E453" s="363"/>
      <c r="K453" s="363"/>
    </row>
    <row r="454">
      <c r="E454" s="363"/>
      <c r="K454" s="363"/>
    </row>
    <row r="455">
      <c r="E455" s="363"/>
      <c r="K455" s="363"/>
    </row>
    <row r="456">
      <c r="E456" s="363"/>
      <c r="K456" s="363"/>
    </row>
    <row r="457">
      <c r="E457" s="363"/>
      <c r="K457" s="363"/>
    </row>
    <row r="458">
      <c r="E458" s="363"/>
      <c r="K458" s="363"/>
    </row>
    <row r="459">
      <c r="E459" s="363"/>
      <c r="K459" s="363"/>
    </row>
    <row r="460">
      <c r="E460" s="363"/>
      <c r="K460" s="363"/>
    </row>
    <row r="461">
      <c r="E461" s="363"/>
      <c r="K461" s="363"/>
    </row>
    <row r="462">
      <c r="E462" s="363"/>
      <c r="K462" s="363"/>
    </row>
    <row r="463">
      <c r="E463" s="363"/>
      <c r="K463" s="363"/>
    </row>
    <row r="464">
      <c r="E464" s="363"/>
      <c r="K464" s="363"/>
    </row>
    <row r="465">
      <c r="E465" s="363"/>
      <c r="K465" s="363"/>
    </row>
    <row r="466">
      <c r="E466" s="363"/>
      <c r="K466" s="363"/>
    </row>
    <row r="467">
      <c r="E467" s="363"/>
      <c r="K467" s="363"/>
    </row>
    <row r="468">
      <c r="E468" s="363"/>
      <c r="K468" s="363"/>
    </row>
    <row r="469">
      <c r="E469" s="363"/>
      <c r="K469" s="363"/>
    </row>
    <row r="470">
      <c r="E470" s="363"/>
      <c r="K470" s="363"/>
    </row>
    <row r="471">
      <c r="E471" s="363"/>
      <c r="K471" s="363"/>
    </row>
    <row r="472">
      <c r="E472" s="363"/>
      <c r="K472" s="363"/>
    </row>
    <row r="473">
      <c r="E473" s="363"/>
      <c r="K473" s="363"/>
    </row>
    <row r="474">
      <c r="E474" s="363"/>
      <c r="K474" s="363"/>
    </row>
    <row r="475">
      <c r="E475" s="363"/>
      <c r="K475" s="363"/>
    </row>
    <row r="476">
      <c r="E476" s="363"/>
      <c r="K476" s="363"/>
    </row>
    <row r="477">
      <c r="E477" s="363"/>
      <c r="K477" s="363"/>
    </row>
    <row r="478">
      <c r="E478" s="363"/>
      <c r="K478" s="363"/>
    </row>
    <row r="479">
      <c r="E479" s="363"/>
      <c r="K479" s="363"/>
    </row>
    <row r="480">
      <c r="E480" s="363"/>
      <c r="K480" s="363"/>
    </row>
    <row r="481">
      <c r="E481" s="363"/>
      <c r="K481" s="363"/>
    </row>
    <row r="482">
      <c r="E482" s="363"/>
      <c r="K482" s="363"/>
    </row>
    <row r="483">
      <c r="E483" s="363"/>
      <c r="K483" s="363"/>
    </row>
    <row r="484">
      <c r="E484" s="363"/>
      <c r="K484" s="363"/>
    </row>
    <row r="485">
      <c r="E485" s="363"/>
      <c r="K485" s="363"/>
    </row>
    <row r="486">
      <c r="E486" s="363"/>
      <c r="K486" s="363"/>
    </row>
    <row r="487">
      <c r="E487" s="363"/>
      <c r="K487" s="363"/>
    </row>
    <row r="488">
      <c r="E488" s="363"/>
      <c r="K488" s="363"/>
    </row>
    <row r="489">
      <c r="E489" s="363"/>
      <c r="K489" s="363"/>
    </row>
    <row r="490">
      <c r="E490" s="363"/>
      <c r="K490" s="363"/>
    </row>
    <row r="491">
      <c r="E491" s="363"/>
      <c r="K491" s="363"/>
    </row>
    <row r="492">
      <c r="E492" s="363"/>
      <c r="K492" s="363"/>
    </row>
    <row r="493">
      <c r="E493" s="363"/>
      <c r="K493" s="363"/>
    </row>
    <row r="494">
      <c r="E494" s="363"/>
      <c r="K494" s="363"/>
    </row>
    <row r="495">
      <c r="E495" s="363"/>
      <c r="K495" s="363"/>
    </row>
    <row r="496">
      <c r="E496" s="363"/>
      <c r="K496" s="363"/>
    </row>
    <row r="497">
      <c r="E497" s="363"/>
      <c r="K497" s="363"/>
    </row>
    <row r="498">
      <c r="E498" s="363"/>
      <c r="K498" s="363"/>
    </row>
    <row r="499">
      <c r="E499" s="363"/>
      <c r="K499" s="363"/>
    </row>
    <row r="500">
      <c r="E500" s="363"/>
      <c r="K500" s="363"/>
    </row>
    <row r="501">
      <c r="E501" s="363"/>
      <c r="K501" s="363"/>
    </row>
    <row r="502">
      <c r="E502" s="363"/>
      <c r="K502" s="363"/>
    </row>
    <row r="503">
      <c r="E503" s="363"/>
      <c r="K503" s="363"/>
    </row>
    <row r="504">
      <c r="E504" s="363"/>
      <c r="K504" s="363"/>
    </row>
    <row r="505">
      <c r="E505" s="363"/>
      <c r="K505" s="363"/>
    </row>
    <row r="506">
      <c r="E506" s="363"/>
      <c r="K506" s="363"/>
    </row>
    <row r="507">
      <c r="E507" s="363"/>
      <c r="K507" s="363"/>
    </row>
    <row r="508">
      <c r="E508" s="363"/>
      <c r="K508" s="363"/>
    </row>
    <row r="509">
      <c r="E509" s="363"/>
      <c r="K509" s="363"/>
    </row>
    <row r="510">
      <c r="E510" s="363"/>
      <c r="K510" s="363"/>
    </row>
    <row r="511">
      <c r="E511" s="363"/>
      <c r="K511" s="363"/>
    </row>
    <row r="512">
      <c r="E512" s="363"/>
      <c r="K512" s="363"/>
    </row>
    <row r="513">
      <c r="E513" s="363"/>
      <c r="K513" s="363"/>
    </row>
    <row r="514">
      <c r="E514" s="363"/>
      <c r="K514" s="363"/>
    </row>
    <row r="515">
      <c r="E515" s="363"/>
      <c r="K515" s="363"/>
    </row>
    <row r="516">
      <c r="E516" s="363"/>
      <c r="K516" s="363"/>
    </row>
    <row r="517">
      <c r="E517" s="363"/>
      <c r="K517" s="363"/>
    </row>
    <row r="518">
      <c r="E518" s="363"/>
      <c r="K518" s="363"/>
    </row>
    <row r="519">
      <c r="E519" s="363"/>
      <c r="K519" s="363"/>
    </row>
    <row r="520">
      <c r="E520" s="363"/>
      <c r="K520" s="363"/>
    </row>
    <row r="521">
      <c r="E521" s="363"/>
      <c r="K521" s="363"/>
    </row>
    <row r="522">
      <c r="E522" s="363"/>
      <c r="K522" s="363"/>
    </row>
    <row r="523">
      <c r="E523" s="363"/>
      <c r="K523" s="363"/>
    </row>
    <row r="524">
      <c r="E524" s="363"/>
      <c r="K524" s="363"/>
    </row>
    <row r="525">
      <c r="E525" s="363"/>
      <c r="K525" s="363"/>
    </row>
    <row r="526">
      <c r="E526" s="363"/>
      <c r="K526" s="363"/>
    </row>
    <row r="527">
      <c r="E527" s="363"/>
      <c r="K527" s="363"/>
    </row>
    <row r="528">
      <c r="E528" s="363"/>
      <c r="K528" s="363"/>
    </row>
    <row r="529">
      <c r="E529" s="363"/>
      <c r="K529" s="363"/>
    </row>
    <row r="530">
      <c r="E530" s="363"/>
      <c r="K530" s="363"/>
    </row>
    <row r="531">
      <c r="E531" s="363"/>
      <c r="K531" s="363"/>
    </row>
    <row r="532">
      <c r="E532" s="363"/>
      <c r="K532" s="363"/>
    </row>
    <row r="533">
      <c r="E533" s="363"/>
      <c r="K533" s="363"/>
    </row>
    <row r="534">
      <c r="E534" s="363"/>
      <c r="K534" s="363"/>
    </row>
    <row r="535">
      <c r="E535" s="363"/>
      <c r="K535" s="363"/>
    </row>
    <row r="536">
      <c r="E536" s="363"/>
      <c r="K536" s="363"/>
    </row>
    <row r="537">
      <c r="E537" s="363"/>
      <c r="K537" s="363"/>
    </row>
    <row r="538">
      <c r="E538" s="363"/>
      <c r="K538" s="363"/>
    </row>
    <row r="539">
      <c r="E539" s="363"/>
      <c r="K539" s="363"/>
    </row>
    <row r="540">
      <c r="E540" s="363"/>
      <c r="K540" s="363"/>
    </row>
    <row r="541">
      <c r="E541" s="363"/>
      <c r="K541" s="363"/>
    </row>
    <row r="542">
      <c r="E542" s="363"/>
      <c r="K542" s="363"/>
    </row>
    <row r="543">
      <c r="E543" s="363"/>
      <c r="K543" s="363"/>
    </row>
    <row r="544">
      <c r="E544" s="363"/>
      <c r="K544" s="363"/>
    </row>
    <row r="545">
      <c r="E545" s="363"/>
      <c r="K545" s="363"/>
    </row>
    <row r="546">
      <c r="E546" s="363"/>
      <c r="K546" s="363"/>
    </row>
    <row r="547">
      <c r="E547" s="363"/>
      <c r="K547" s="363"/>
    </row>
    <row r="548">
      <c r="E548" s="363"/>
      <c r="K548" s="363"/>
    </row>
    <row r="549">
      <c r="E549" s="363"/>
      <c r="K549" s="363"/>
    </row>
    <row r="550">
      <c r="E550" s="363"/>
      <c r="K550" s="363"/>
    </row>
    <row r="551">
      <c r="E551" s="363"/>
      <c r="K551" s="363"/>
    </row>
    <row r="552">
      <c r="E552" s="363"/>
      <c r="K552" s="363"/>
    </row>
    <row r="553">
      <c r="E553" s="363"/>
      <c r="K553" s="363"/>
    </row>
    <row r="554">
      <c r="E554" s="363"/>
      <c r="K554" s="363"/>
    </row>
    <row r="555">
      <c r="E555" s="363"/>
      <c r="K555" s="363"/>
    </row>
    <row r="556">
      <c r="E556" s="363"/>
      <c r="K556" s="363"/>
    </row>
    <row r="557">
      <c r="E557" s="363"/>
      <c r="K557" s="363"/>
    </row>
    <row r="558">
      <c r="E558" s="363"/>
      <c r="K558" s="363"/>
    </row>
    <row r="559">
      <c r="E559" s="363"/>
      <c r="K559" s="363"/>
    </row>
    <row r="560">
      <c r="E560" s="363"/>
      <c r="K560" s="363"/>
    </row>
    <row r="561">
      <c r="E561" s="363"/>
      <c r="K561" s="363"/>
    </row>
    <row r="562">
      <c r="E562" s="363"/>
      <c r="K562" s="363"/>
    </row>
    <row r="563">
      <c r="E563" s="363"/>
      <c r="K563" s="363"/>
    </row>
    <row r="564">
      <c r="E564" s="363"/>
      <c r="K564" s="363"/>
    </row>
    <row r="565">
      <c r="E565" s="363"/>
      <c r="K565" s="363"/>
    </row>
    <row r="566">
      <c r="E566" s="363"/>
      <c r="K566" s="363"/>
    </row>
    <row r="567">
      <c r="E567" s="363"/>
      <c r="K567" s="363"/>
    </row>
    <row r="568">
      <c r="E568" s="363"/>
      <c r="K568" s="363"/>
    </row>
    <row r="569">
      <c r="E569" s="363"/>
      <c r="K569" s="363"/>
    </row>
    <row r="570">
      <c r="E570" s="363"/>
      <c r="K570" s="363"/>
    </row>
    <row r="571">
      <c r="E571" s="363"/>
      <c r="K571" s="363"/>
    </row>
    <row r="572">
      <c r="E572" s="363"/>
      <c r="K572" s="363"/>
    </row>
    <row r="573">
      <c r="E573" s="363"/>
      <c r="K573" s="363"/>
    </row>
    <row r="574">
      <c r="E574" s="363"/>
      <c r="K574" s="363"/>
    </row>
    <row r="575">
      <c r="E575" s="363"/>
      <c r="K575" s="363"/>
    </row>
    <row r="576">
      <c r="E576" s="363"/>
      <c r="K576" s="363"/>
    </row>
    <row r="577">
      <c r="E577" s="363"/>
      <c r="K577" s="363"/>
    </row>
    <row r="578">
      <c r="E578" s="363"/>
      <c r="K578" s="363"/>
    </row>
    <row r="579">
      <c r="E579" s="363"/>
      <c r="K579" s="363"/>
    </row>
    <row r="580">
      <c r="E580" s="363"/>
      <c r="K580" s="363"/>
    </row>
    <row r="581">
      <c r="E581" s="363"/>
      <c r="K581" s="363"/>
    </row>
    <row r="582">
      <c r="E582" s="363"/>
      <c r="K582" s="363"/>
    </row>
    <row r="583">
      <c r="E583" s="363"/>
      <c r="K583" s="363"/>
    </row>
    <row r="584">
      <c r="E584" s="363"/>
      <c r="K584" s="363"/>
    </row>
    <row r="585">
      <c r="E585" s="363"/>
      <c r="K585" s="363"/>
    </row>
    <row r="586">
      <c r="E586" s="363"/>
      <c r="K586" s="363"/>
    </row>
    <row r="587">
      <c r="E587" s="363"/>
      <c r="K587" s="363"/>
    </row>
    <row r="588">
      <c r="E588" s="363"/>
      <c r="K588" s="363"/>
    </row>
    <row r="589">
      <c r="E589" s="363"/>
      <c r="K589" s="363"/>
    </row>
    <row r="590">
      <c r="E590" s="363"/>
      <c r="K590" s="363"/>
    </row>
    <row r="591">
      <c r="E591" s="363"/>
      <c r="K591" s="363"/>
    </row>
    <row r="592">
      <c r="E592" s="363"/>
      <c r="K592" s="363"/>
    </row>
    <row r="593">
      <c r="E593" s="363"/>
      <c r="K593" s="363"/>
    </row>
    <row r="594">
      <c r="E594" s="363"/>
      <c r="K594" s="363"/>
    </row>
    <row r="595">
      <c r="E595" s="363"/>
      <c r="K595" s="363"/>
    </row>
    <row r="596">
      <c r="E596" s="363"/>
      <c r="K596" s="363"/>
    </row>
    <row r="597">
      <c r="E597" s="363"/>
      <c r="K597" s="363"/>
    </row>
    <row r="598">
      <c r="E598" s="363"/>
      <c r="K598" s="363"/>
    </row>
    <row r="599">
      <c r="E599" s="363"/>
      <c r="K599" s="363"/>
    </row>
    <row r="600">
      <c r="E600" s="363"/>
      <c r="K600" s="363"/>
    </row>
    <row r="601">
      <c r="E601" s="363"/>
      <c r="K601" s="363"/>
    </row>
    <row r="602">
      <c r="E602" s="363"/>
      <c r="K602" s="363"/>
    </row>
    <row r="603">
      <c r="E603" s="363"/>
      <c r="K603" s="363"/>
    </row>
    <row r="604">
      <c r="E604" s="363"/>
      <c r="K604" s="363"/>
    </row>
    <row r="605">
      <c r="E605" s="363"/>
      <c r="K605" s="363"/>
    </row>
    <row r="606">
      <c r="E606" s="363"/>
      <c r="K606" s="363"/>
    </row>
    <row r="607">
      <c r="E607" s="363"/>
      <c r="K607" s="363"/>
    </row>
    <row r="608">
      <c r="E608" s="363"/>
      <c r="K608" s="363"/>
    </row>
    <row r="609">
      <c r="E609" s="363"/>
      <c r="K609" s="363"/>
    </row>
    <row r="610">
      <c r="E610" s="363"/>
      <c r="K610" s="363"/>
    </row>
    <row r="611">
      <c r="E611" s="363"/>
      <c r="K611" s="363"/>
    </row>
    <row r="612">
      <c r="E612" s="363"/>
      <c r="K612" s="363"/>
    </row>
    <row r="613">
      <c r="E613" s="363"/>
      <c r="K613" s="363"/>
    </row>
    <row r="614">
      <c r="E614" s="363"/>
      <c r="K614" s="363"/>
    </row>
    <row r="615">
      <c r="E615" s="363"/>
      <c r="K615" s="363"/>
    </row>
    <row r="616">
      <c r="E616" s="363"/>
      <c r="K616" s="363"/>
    </row>
    <row r="617">
      <c r="E617" s="363"/>
      <c r="K617" s="363"/>
    </row>
    <row r="618">
      <c r="E618" s="363"/>
      <c r="K618" s="363"/>
    </row>
    <row r="619">
      <c r="E619" s="363"/>
      <c r="K619" s="363"/>
    </row>
    <row r="620">
      <c r="E620" s="363"/>
      <c r="K620" s="363"/>
    </row>
    <row r="621">
      <c r="E621" s="363"/>
      <c r="K621" s="363"/>
    </row>
    <row r="622">
      <c r="E622" s="363"/>
      <c r="K622" s="363"/>
    </row>
    <row r="623">
      <c r="E623" s="363"/>
      <c r="K623" s="363"/>
    </row>
    <row r="624">
      <c r="E624" s="363"/>
      <c r="K624" s="363"/>
    </row>
    <row r="625">
      <c r="E625" s="363"/>
      <c r="K625" s="363"/>
    </row>
    <row r="626">
      <c r="E626" s="363"/>
      <c r="K626" s="363"/>
    </row>
    <row r="627">
      <c r="E627" s="363"/>
      <c r="K627" s="363"/>
    </row>
    <row r="628">
      <c r="E628" s="363"/>
      <c r="K628" s="363"/>
    </row>
    <row r="629">
      <c r="E629" s="363"/>
      <c r="K629" s="363"/>
    </row>
    <row r="630">
      <c r="E630" s="363"/>
      <c r="K630" s="363"/>
    </row>
    <row r="631">
      <c r="E631" s="363"/>
      <c r="K631" s="363"/>
    </row>
    <row r="632">
      <c r="E632" s="363"/>
      <c r="K632" s="363"/>
    </row>
    <row r="633">
      <c r="E633" s="363"/>
      <c r="K633" s="363"/>
    </row>
    <row r="634">
      <c r="E634" s="363"/>
      <c r="K634" s="363"/>
    </row>
    <row r="635">
      <c r="E635" s="363"/>
      <c r="K635" s="363"/>
    </row>
    <row r="636">
      <c r="E636" s="363"/>
      <c r="K636" s="363"/>
    </row>
    <row r="637">
      <c r="E637" s="363"/>
      <c r="K637" s="363"/>
    </row>
    <row r="638">
      <c r="E638" s="363"/>
      <c r="K638" s="363"/>
    </row>
    <row r="639">
      <c r="E639" s="363"/>
      <c r="K639" s="363"/>
    </row>
    <row r="640">
      <c r="E640" s="363"/>
      <c r="K640" s="363"/>
    </row>
    <row r="641">
      <c r="E641" s="363"/>
      <c r="K641" s="363"/>
    </row>
    <row r="642">
      <c r="E642" s="363"/>
      <c r="K642" s="363"/>
    </row>
    <row r="643">
      <c r="E643" s="363"/>
      <c r="K643" s="363"/>
    </row>
    <row r="644">
      <c r="E644" s="363"/>
      <c r="K644" s="363"/>
    </row>
    <row r="645">
      <c r="E645" s="363"/>
      <c r="K645" s="363"/>
    </row>
    <row r="646">
      <c r="E646" s="363"/>
      <c r="K646" s="363"/>
    </row>
    <row r="647">
      <c r="E647" s="363"/>
      <c r="K647" s="363"/>
    </row>
    <row r="648">
      <c r="E648" s="363"/>
      <c r="K648" s="363"/>
    </row>
    <row r="649">
      <c r="E649" s="363"/>
      <c r="K649" s="363"/>
    </row>
    <row r="650">
      <c r="E650" s="363"/>
      <c r="K650" s="363"/>
    </row>
    <row r="651">
      <c r="E651" s="363"/>
      <c r="K651" s="363"/>
    </row>
    <row r="652">
      <c r="E652" s="363"/>
      <c r="K652" s="363"/>
    </row>
    <row r="653">
      <c r="E653" s="363"/>
      <c r="K653" s="363"/>
    </row>
    <row r="654">
      <c r="E654" s="363"/>
      <c r="K654" s="363"/>
    </row>
    <row r="655">
      <c r="E655" s="363"/>
      <c r="K655" s="363"/>
    </row>
    <row r="656">
      <c r="E656" s="363"/>
      <c r="K656" s="363"/>
    </row>
    <row r="657">
      <c r="E657" s="363"/>
      <c r="K657" s="363"/>
    </row>
    <row r="658">
      <c r="E658" s="363"/>
      <c r="K658" s="363"/>
    </row>
    <row r="659">
      <c r="E659" s="363"/>
      <c r="K659" s="363"/>
    </row>
    <row r="660">
      <c r="E660" s="363"/>
      <c r="K660" s="363"/>
    </row>
    <row r="661">
      <c r="E661" s="363"/>
      <c r="K661" s="363"/>
    </row>
    <row r="662">
      <c r="E662" s="363"/>
      <c r="K662" s="363"/>
    </row>
    <row r="663">
      <c r="E663" s="363"/>
      <c r="K663" s="363"/>
    </row>
    <row r="664">
      <c r="E664" s="363"/>
      <c r="K664" s="363"/>
    </row>
    <row r="665">
      <c r="E665" s="363"/>
      <c r="K665" s="363"/>
    </row>
    <row r="666">
      <c r="E666" s="363"/>
      <c r="K666" s="363"/>
    </row>
    <row r="667">
      <c r="E667" s="363"/>
      <c r="K667" s="363"/>
    </row>
    <row r="668">
      <c r="E668" s="363"/>
      <c r="K668" s="363"/>
    </row>
    <row r="669">
      <c r="E669" s="363"/>
      <c r="K669" s="363"/>
    </row>
    <row r="670">
      <c r="E670" s="363"/>
      <c r="K670" s="363"/>
    </row>
    <row r="671">
      <c r="E671" s="363"/>
      <c r="K671" s="363"/>
    </row>
    <row r="672">
      <c r="E672" s="363"/>
      <c r="K672" s="363"/>
    </row>
    <row r="673">
      <c r="E673" s="363"/>
      <c r="K673" s="363"/>
    </row>
    <row r="674">
      <c r="E674" s="363"/>
      <c r="K674" s="363"/>
    </row>
    <row r="675">
      <c r="E675" s="363"/>
      <c r="K675" s="363"/>
    </row>
    <row r="676">
      <c r="E676" s="363"/>
      <c r="K676" s="363"/>
    </row>
    <row r="677">
      <c r="E677" s="363"/>
      <c r="K677" s="363"/>
    </row>
    <row r="678">
      <c r="E678" s="363"/>
      <c r="K678" s="363"/>
    </row>
    <row r="679">
      <c r="E679" s="363"/>
      <c r="K679" s="363"/>
    </row>
    <row r="680">
      <c r="E680" s="363"/>
      <c r="K680" s="363"/>
    </row>
    <row r="681">
      <c r="E681" s="363"/>
      <c r="K681" s="363"/>
    </row>
    <row r="682">
      <c r="E682" s="363"/>
      <c r="K682" s="363"/>
    </row>
    <row r="683">
      <c r="E683" s="363"/>
      <c r="K683" s="363"/>
    </row>
    <row r="684">
      <c r="E684" s="363"/>
      <c r="K684" s="363"/>
    </row>
    <row r="685">
      <c r="E685" s="363"/>
      <c r="K685" s="363"/>
    </row>
    <row r="686">
      <c r="E686" s="363"/>
      <c r="K686" s="363"/>
    </row>
    <row r="687">
      <c r="E687" s="363"/>
      <c r="K687" s="363"/>
    </row>
    <row r="688">
      <c r="E688" s="363"/>
      <c r="K688" s="363"/>
    </row>
    <row r="689">
      <c r="E689" s="363"/>
      <c r="K689" s="363"/>
    </row>
    <row r="690">
      <c r="E690" s="363"/>
      <c r="K690" s="363"/>
    </row>
    <row r="691">
      <c r="E691" s="363"/>
      <c r="K691" s="363"/>
    </row>
    <row r="692">
      <c r="E692" s="363"/>
      <c r="K692" s="363"/>
    </row>
    <row r="693">
      <c r="E693" s="363"/>
      <c r="K693" s="363"/>
    </row>
    <row r="694">
      <c r="E694" s="363"/>
      <c r="K694" s="363"/>
    </row>
    <row r="695">
      <c r="E695" s="363"/>
      <c r="K695" s="363"/>
    </row>
    <row r="696">
      <c r="E696" s="363"/>
      <c r="K696" s="363"/>
    </row>
    <row r="697">
      <c r="E697" s="363"/>
      <c r="K697" s="363"/>
    </row>
    <row r="698">
      <c r="E698" s="363"/>
      <c r="K698" s="363"/>
    </row>
    <row r="699">
      <c r="E699" s="363"/>
      <c r="K699" s="363"/>
    </row>
    <row r="700">
      <c r="E700" s="363"/>
      <c r="K700" s="363"/>
    </row>
    <row r="701">
      <c r="E701" s="363"/>
      <c r="K701" s="363"/>
    </row>
    <row r="702">
      <c r="E702" s="363"/>
      <c r="K702" s="363"/>
    </row>
    <row r="703">
      <c r="E703" s="363"/>
      <c r="K703" s="363"/>
    </row>
    <row r="704">
      <c r="E704" s="363"/>
      <c r="K704" s="363"/>
    </row>
    <row r="705">
      <c r="E705" s="363"/>
      <c r="K705" s="363"/>
    </row>
    <row r="706">
      <c r="E706" s="363"/>
      <c r="K706" s="363"/>
    </row>
    <row r="707">
      <c r="E707" s="363"/>
      <c r="K707" s="363"/>
    </row>
    <row r="708">
      <c r="E708" s="363"/>
      <c r="K708" s="363"/>
    </row>
    <row r="709">
      <c r="E709" s="363"/>
      <c r="K709" s="363"/>
    </row>
    <row r="710">
      <c r="E710" s="363"/>
      <c r="K710" s="363"/>
    </row>
    <row r="711">
      <c r="E711" s="363"/>
      <c r="K711" s="363"/>
    </row>
    <row r="712">
      <c r="E712" s="363"/>
      <c r="K712" s="363"/>
    </row>
    <row r="713">
      <c r="E713" s="363"/>
      <c r="K713" s="363"/>
    </row>
    <row r="714">
      <c r="E714" s="363"/>
      <c r="K714" s="363"/>
    </row>
    <row r="715">
      <c r="E715" s="363"/>
      <c r="K715" s="363"/>
    </row>
    <row r="716">
      <c r="E716" s="363"/>
      <c r="K716" s="363"/>
    </row>
    <row r="717">
      <c r="E717" s="363"/>
      <c r="K717" s="363"/>
    </row>
    <row r="718">
      <c r="E718" s="363"/>
      <c r="K718" s="363"/>
    </row>
    <row r="719">
      <c r="E719" s="363"/>
      <c r="K719" s="363"/>
    </row>
    <row r="720">
      <c r="E720" s="363"/>
      <c r="K720" s="363"/>
    </row>
    <row r="721">
      <c r="E721" s="363"/>
      <c r="K721" s="363"/>
    </row>
    <row r="722">
      <c r="E722" s="363"/>
      <c r="K722" s="363"/>
    </row>
    <row r="723">
      <c r="E723" s="363"/>
      <c r="K723" s="363"/>
    </row>
    <row r="724">
      <c r="E724" s="363"/>
      <c r="K724" s="363"/>
    </row>
    <row r="725">
      <c r="E725" s="363"/>
      <c r="K725" s="363"/>
    </row>
    <row r="726">
      <c r="E726" s="363"/>
      <c r="K726" s="363"/>
    </row>
    <row r="727">
      <c r="E727" s="363"/>
      <c r="K727" s="363"/>
    </row>
    <row r="728">
      <c r="E728" s="363"/>
      <c r="K728" s="363"/>
    </row>
    <row r="729">
      <c r="E729" s="363"/>
      <c r="K729" s="363"/>
    </row>
    <row r="730">
      <c r="E730" s="363"/>
      <c r="K730" s="363"/>
    </row>
    <row r="731">
      <c r="E731" s="363"/>
      <c r="K731" s="363"/>
    </row>
    <row r="732">
      <c r="E732" s="363"/>
      <c r="K732" s="363"/>
    </row>
    <row r="733">
      <c r="E733" s="363"/>
      <c r="K733" s="363"/>
    </row>
    <row r="734">
      <c r="E734" s="363"/>
      <c r="K734" s="363"/>
    </row>
    <row r="735">
      <c r="E735" s="363"/>
      <c r="K735" s="363"/>
    </row>
    <row r="736">
      <c r="E736" s="363"/>
      <c r="K736" s="363"/>
    </row>
    <row r="737">
      <c r="E737" s="363"/>
      <c r="K737" s="363"/>
    </row>
    <row r="738">
      <c r="E738" s="363"/>
      <c r="K738" s="363"/>
    </row>
    <row r="739">
      <c r="E739" s="363"/>
      <c r="K739" s="363"/>
    </row>
    <row r="740">
      <c r="E740" s="363"/>
      <c r="K740" s="363"/>
    </row>
    <row r="741">
      <c r="E741" s="363"/>
      <c r="K741" s="363"/>
    </row>
    <row r="742">
      <c r="E742" s="363"/>
      <c r="K742" s="363"/>
    </row>
    <row r="743">
      <c r="E743" s="363"/>
      <c r="K743" s="363"/>
    </row>
    <row r="744">
      <c r="E744" s="363"/>
      <c r="K744" s="363"/>
    </row>
    <row r="745">
      <c r="E745" s="363"/>
      <c r="K745" s="363"/>
    </row>
    <row r="746">
      <c r="E746" s="363"/>
      <c r="K746" s="363"/>
    </row>
    <row r="747">
      <c r="E747" s="363"/>
      <c r="K747" s="363"/>
    </row>
    <row r="748">
      <c r="E748" s="363"/>
      <c r="K748" s="363"/>
    </row>
    <row r="749">
      <c r="E749" s="363"/>
      <c r="K749" s="363"/>
    </row>
    <row r="750">
      <c r="E750" s="363"/>
      <c r="K750" s="363"/>
    </row>
    <row r="751">
      <c r="E751" s="363"/>
      <c r="K751" s="363"/>
    </row>
    <row r="752">
      <c r="E752" s="363"/>
      <c r="K752" s="363"/>
    </row>
    <row r="753">
      <c r="E753" s="363"/>
      <c r="K753" s="363"/>
    </row>
    <row r="754">
      <c r="E754" s="363"/>
      <c r="K754" s="363"/>
    </row>
    <row r="755">
      <c r="E755" s="363"/>
      <c r="K755" s="363"/>
    </row>
    <row r="756">
      <c r="E756" s="363"/>
      <c r="K756" s="363"/>
    </row>
    <row r="757">
      <c r="E757" s="363"/>
      <c r="K757" s="363"/>
    </row>
    <row r="758">
      <c r="E758" s="363"/>
      <c r="K758" s="363"/>
    </row>
    <row r="759">
      <c r="E759" s="363"/>
      <c r="K759" s="363"/>
    </row>
    <row r="760">
      <c r="E760" s="363"/>
      <c r="K760" s="363"/>
    </row>
    <row r="761">
      <c r="E761" s="363"/>
      <c r="K761" s="363"/>
    </row>
    <row r="762">
      <c r="E762" s="363"/>
      <c r="K762" s="363"/>
    </row>
    <row r="763">
      <c r="E763" s="363"/>
      <c r="K763" s="363"/>
    </row>
    <row r="764">
      <c r="E764" s="363"/>
      <c r="K764" s="363"/>
    </row>
    <row r="765">
      <c r="E765" s="363"/>
      <c r="K765" s="363"/>
    </row>
    <row r="766">
      <c r="E766" s="363"/>
      <c r="K766" s="363"/>
    </row>
    <row r="767">
      <c r="E767" s="363"/>
      <c r="K767" s="363"/>
    </row>
    <row r="768">
      <c r="E768" s="363"/>
      <c r="K768" s="363"/>
    </row>
    <row r="769">
      <c r="E769" s="363"/>
      <c r="K769" s="363"/>
    </row>
    <row r="770">
      <c r="E770" s="363"/>
      <c r="K770" s="363"/>
    </row>
    <row r="771">
      <c r="E771" s="363"/>
      <c r="K771" s="363"/>
    </row>
    <row r="772">
      <c r="E772" s="363"/>
      <c r="K772" s="363"/>
    </row>
    <row r="773">
      <c r="E773" s="363"/>
      <c r="K773" s="363"/>
    </row>
    <row r="774">
      <c r="E774" s="363"/>
      <c r="K774" s="363"/>
    </row>
    <row r="775">
      <c r="E775" s="363"/>
      <c r="K775" s="363"/>
    </row>
    <row r="776">
      <c r="E776" s="363"/>
      <c r="K776" s="363"/>
    </row>
    <row r="777">
      <c r="E777" s="363"/>
      <c r="K777" s="363"/>
    </row>
    <row r="778">
      <c r="E778" s="363"/>
      <c r="K778" s="363"/>
    </row>
    <row r="779">
      <c r="E779" s="363"/>
      <c r="K779" s="363"/>
    </row>
    <row r="780">
      <c r="E780" s="363"/>
      <c r="K780" s="363"/>
    </row>
    <row r="781">
      <c r="E781" s="363"/>
      <c r="K781" s="363"/>
    </row>
    <row r="782">
      <c r="E782" s="363"/>
      <c r="K782" s="363"/>
    </row>
    <row r="783">
      <c r="E783" s="363"/>
      <c r="K783" s="363"/>
    </row>
    <row r="784">
      <c r="E784" s="363"/>
      <c r="K784" s="363"/>
    </row>
    <row r="785">
      <c r="E785" s="363"/>
      <c r="K785" s="363"/>
    </row>
    <row r="786">
      <c r="E786" s="363"/>
      <c r="K786" s="363"/>
    </row>
    <row r="787">
      <c r="E787" s="363"/>
      <c r="K787" s="363"/>
    </row>
    <row r="788">
      <c r="E788" s="363"/>
      <c r="K788" s="363"/>
    </row>
    <row r="789">
      <c r="E789" s="363"/>
      <c r="K789" s="363"/>
    </row>
    <row r="790">
      <c r="E790" s="363"/>
      <c r="K790" s="363"/>
    </row>
    <row r="791">
      <c r="E791" s="363"/>
      <c r="K791" s="363"/>
    </row>
    <row r="792">
      <c r="E792" s="363"/>
      <c r="K792" s="363"/>
    </row>
    <row r="793">
      <c r="E793" s="363"/>
      <c r="K793" s="363"/>
    </row>
    <row r="794">
      <c r="E794" s="363"/>
      <c r="K794" s="363"/>
    </row>
    <row r="795">
      <c r="E795" s="363"/>
      <c r="K795" s="363"/>
    </row>
    <row r="796">
      <c r="E796" s="363"/>
      <c r="K796" s="363"/>
    </row>
    <row r="797">
      <c r="E797" s="363"/>
      <c r="K797" s="363"/>
    </row>
    <row r="798">
      <c r="E798" s="363"/>
      <c r="K798" s="363"/>
    </row>
    <row r="799">
      <c r="E799" s="363"/>
      <c r="K799" s="363"/>
    </row>
    <row r="800">
      <c r="E800" s="363"/>
      <c r="K800" s="363"/>
    </row>
    <row r="801">
      <c r="E801" s="363"/>
      <c r="K801" s="363"/>
    </row>
    <row r="802">
      <c r="E802" s="363"/>
      <c r="K802" s="363"/>
    </row>
    <row r="803">
      <c r="E803" s="363"/>
      <c r="K803" s="363"/>
    </row>
    <row r="804">
      <c r="E804" s="363"/>
      <c r="K804" s="363"/>
    </row>
    <row r="805">
      <c r="E805" s="363"/>
      <c r="K805" s="363"/>
    </row>
    <row r="806">
      <c r="E806" s="363"/>
      <c r="K806" s="363"/>
    </row>
    <row r="807">
      <c r="E807" s="363"/>
      <c r="K807" s="363"/>
    </row>
    <row r="808">
      <c r="E808" s="363"/>
      <c r="K808" s="363"/>
    </row>
    <row r="809">
      <c r="E809" s="363"/>
      <c r="K809" s="363"/>
    </row>
    <row r="810">
      <c r="E810" s="363"/>
      <c r="K810" s="363"/>
    </row>
    <row r="811">
      <c r="E811" s="363"/>
      <c r="K811" s="363"/>
    </row>
    <row r="812">
      <c r="E812" s="363"/>
      <c r="K812" s="363"/>
    </row>
    <row r="813">
      <c r="E813" s="363"/>
      <c r="K813" s="363"/>
    </row>
    <row r="814">
      <c r="E814" s="363"/>
      <c r="K814" s="363"/>
    </row>
    <row r="815">
      <c r="E815" s="363"/>
      <c r="K815" s="363"/>
    </row>
    <row r="816">
      <c r="E816" s="363"/>
      <c r="K816" s="363"/>
    </row>
    <row r="817">
      <c r="E817" s="363"/>
      <c r="K817" s="363"/>
    </row>
    <row r="818">
      <c r="E818" s="363"/>
      <c r="K818" s="363"/>
    </row>
    <row r="819">
      <c r="E819" s="363"/>
      <c r="K819" s="363"/>
    </row>
    <row r="820">
      <c r="E820" s="363"/>
      <c r="K820" s="363"/>
    </row>
    <row r="821">
      <c r="E821" s="363"/>
      <c r="K821" s="363"/>
    </row>
    <row r="822">
      <c r="E822" s="363"/>
      <c r="K822" s="363"/>
    </row>
    <row r="823">
      <c r="E823" s="363"/>
      <c r="K823" s="363"/>
    </row>
    <row r="824">
      <c r="E824" s="363"/>
      <c r="K824" s="363"/>
    </row>
    <row r="825">
      <c r="E825" s="363"/>
      <c r="K825" s="363"/>
    </row>
    <row r="826">
      <c r="E826" s="363"/>
      <c r="K826" s="363"/>
    </row>
    <row r="827">
      <c r="E827" s="363"/>
      <c r="K827" s="363"/>
    </row>
    <row r="828">
      <c r="E828" s="363"/>
      <c r="K828" s="363"/>
    </row>
    <row r="829">
      <c r="E829" s="363"/>
      <c r="K829" s="363"/>
    </row>
    <row r="830">
      <c r="E830" s="363"/>
      <c r="K830" s="363"/>
    </row>
    <row r="831">
      <c r="E831" s="363"/>
      <c r="K831" s="363"/>
    </row>
    <row r="832">
      <c r="E832" s="363"/>
      <c r="K832" s="363"/>
    </row>
    <row r="833">
      <c r="E833" s="363"/>
      <c r="K833" s="363"/>
    </row>
    <row r="834">
      <c r="E834" s="363"/>
      <c r="K834" s="363"/>
    </row>
    <row r="835">
      <c r="E835" s="363"/>
      <c r="K835" s="363"/>
    </row>
    <row r="836">
      <c r="E836" s="363"/>
      <c r="K836" s="363"/>
    </row>
    <row r="837">
      <c r="E837" s="363"/>
      <c r="K837" s="363"/>
    </row>
    <row r="838">
      <c r="E838" s="363"/>
      <c r="K838" s="363"/>
    </row>
    <row r="839">
      <c r="E839" s="363"/>
      <c r="K839" s="363"/>
    </row>
    <row r="840">
      <c r="E840" s="363"/>
      <c r="K840" s="363"/>
    </row>
    <row r="841">
      <c r="E841" s="363"/>
      <c r="K841" s="363"/>
    </row>
    <row r="842">
      <c r="E842" s="363"/>
      <c r="K842" s="363"/>
    </row>
    <row r="843">
      <c r="E843" s="363"/>
      <c r="K843" s="363"/>
    </row>
    <row r="844">
      <c r="E844" s="363"/>
      <c r="K844" s="363"/>
    </row>
    <row r="845">
      <c r="E845" s="363"/>
      <c r="K845" s="363"/>
    </row>
    <row r="846">
      <c r="E846" s="363"/>
      <c r="K846" s="363"/>
    </row>
    <row r="847">
      <c r="E847" s="363"/>
      <c r="K847" s="363"/>
    </row>
    <row r="848">
      <c r="E848" s="363"/>
      <c r="K848" s="363"/>
    </row>
    <row r="849">
      <c r="E849" s="363"/>
      <c r="K849" s="363"/>
    </row>
    <row r="850">
      <c r="E850" s="363"/>
      <c r="K850" s="363"/>
    </row>
    <row r="851">
      <c r="E851" s="363"/>
      <c r="K851" s="363"/>
    </row>
    <row r="852">
      <c r="E852" s="363"/>
      <c r="K852" s="363"/>
    </row>
    <row r="853">
      <c r="E853" s="363"/>
      <c r="K853" s="363"/>
    </row>
    <row r="854">
      <c r="E854" s="363"/>
      <c r="K854" s="363"/>
    </row>
    <row r="855">
      <c r="E855" s="363"/>
      <c r="K855" s="363"/>
    </row>
    <row r="856">
      <c r="E856" s="363"/>
      <c r="K856" s="363"/>
    </row>
    <row r="857">
      <c r="E857" s="363"/>
      <c r="K857" s="363"/>
    </row>
    <row r="858">
      <c r="E858" s="363"/>
      <c r="K858" s="363"/>
    </row>
    <row r="859">
      <c r="E859" s="363"/>
      <c r="K859" s="363"/>
    </row>
    <row r="860">
      <c r="E860" s="363"/>
      <c r="K860" s="363"/>
    </row>
    <row r="861">
      <c r="E861" s="363"/>
      <c r="K861" s="363"/>
    </row>
    <row r="862">
      <c r="E862" s="363"/>
      <c r="K862" s="363"/>
    </row>
    <row r="863">
      <c r="E863" s="363"/>
      <c r="K863" s="363"/>
    </row>
    <row r="864">
      <c r="E864" s="363"/>
      <c r="K864" s="363"/>
    </row>
    <row r="865">
      <c r="E865" s="363"/>
      <c r="K865" s="363"/>
    </row>
    <row r="866">
      <c r="E866" s="363"/>
      <c r="K866" s="363"/>
    </row>
    <row r="867">
      <c r="E867" s="363"/>
      <c r="K867" s="363"/>
    </row>
    <row r="868">
      <c r="E868" s="363"/>
      <c r="K868" s="363"/>
    </row>
    <row r="869">
      <c r="E869" s="363"/>
      <c r="K869" s="363"/>
    </row>
    <row r="870">
      <c r="E870" s="363"/>
      <c r="K870" s="363"/>
    </row>
    <row r="871">
      <c r="E871" s="363"/>
      <c r="K871" s="363"/>
    </row>
    <row r="872">
      <c r="E872" s="363"/>
      <c r="K872" s="363"/>
    </row>
    <row r="873">
      <c r="E873" s="363"/>
      <c r="K873" s="363"/>
    </row>
    <row r="874">
      <c r="E874" s="363"/>
      <c r="K874" s="363"/>
    </row>
    <row r="875">
      <c r="E875" s="363"/>
      <c r="K875" s="363"/>
    </row>
    <row r="876">
      <c r="E876" s="363"/>
      <c r="K876" s="363"/>
    </row>
    <row r="877">
      <c r="E877" s="363"/>
      <c r="K877" s="363"/>
    </row>
    <row r="878">
      <c r="E878" s="363"/>
      <c r="K878" s="363"/>
    </row>
    <row r="879">
      <c r="E879" s="363"/>
      <c r="K879" s="363"/>
    </row>
    <row r="880">
      <c r="E880" s="363"/>
      <c r="K880" s="363"/>
    </row>
    <row r="881">
      <c r="E881" s="363"/>
      <c r="K881" s="363"/>
    </row>
    <row r="882">
      <c r="E882" s="363"/>
      <c r="K882" s="363"/>
    </row>
    <row r="883">
      <c r="E883" s="363"/>
      <c r="K883" s="363"/>
    </row>
    <row r="884">
      <c r="E884" s="363"/>
      <c r="K884" s="363"/>
    </row>
    <row r="885">
      <c r="E885" s="363"/>
      <c r="K885" s="363"/>
    </row>
    <row r="886">
      <c r="E886" s="363"/>
      <c r="K886" s="363"/>
    </row>
    <row r="887">
      <c r="E887" s="363"/>
      <c r="K887" s="363"/>
    </row>
    <row r="888">
      <c r="E888" s="363"/>
      <c r="K888" s="363"/>
    </row>
    <row r="889">
      <c r="E889" s="363"/>
      <c r="K889" s="363"/>
    </row>
    <row r="890">
      <c r="E890" s="363"/>
      <c r="K890" s="363"/>
    </row>
    <row r="891">
      <c r="E891" s="363"/>
      <c r="K891" s="363"/>
    </row>
    <row r="892">
      <c r="E892" s="363"/>
      <c r="K892" s="363"/>
    </row>
    <row r="893">
      <c r="E893" s="363"/>
      <c r="K893" s="363"/>
    </row>
    <row r="894">
      <c r="E894" s="363"/>
      <c r="K894" s="363"/>
    </row>
    <row r="895">
      <c r="E895" s="363"/>
      <c r="K895" s="363"/>
    </row>
    <row r="896">
      <c r="E896" s="363"/>
      <c r="K896" s="363"/>
    </row>
    <row r="897">
      <c r="E897" s="363"/>
      <c r="K897" s="363"/>
    </row>
    <row r="898">
      <c r="E898" s="363"/>
      <c r="K898" s="363"/>
    </row>
    <row r="899">
      <c r="E899" s="363"/>
      <c r="K899" s="363"/>
    </row>
    <row r="900">
      <c r="E900" s="363"/>
      <c r="K900" s="363"/>
    </row>
    <row r="901">
      <c r="E901" s="363"/>
      <c r="K901" s="363"/>
    </row>
    <row r="902">
      <c r="E902" s="363"/>
      <c r="K902" s="363"/>
    </row>
    <row r="903">
      <c r="E903" s="363"/>
      <c r="K903" s="363"/>
    </row>
    <row r="904">
      <c r="E904" s="363"/>
      <c r="K904" s="363"/>
    </row>
    <row r="905">
      <c r="E905" s="363"/>
      <c r="K905" s="363"/>
    </row>
    <row r="906">
      <c r="E906" s="363"/>
      <c r="K906" s="363"/>
    </row>
    <row r="907">
      <c r="E907" s="363"/>
      <c r="K907" s="363"/>
    </row>
    <row r="908">
      <c r="E908" s="363"/>
      <c r="K908" s="363"/>
    </row>
    <row r="909">
      <c r="E909" s="363"/>
      <c r="K909" s="363"/>
    </row>
    <row r="910">
      <c r="E910" s="363"/>
      <c r="K910" s="363"/>
    </row>
    <row r="911">
      <c r="E911" s="363"/>
      <c r="K911" s="363"/>
    </row>
    <row r="912">
      <c r="E912" s="363"/>
      <c r="K912" s="363"/>
    </row>
    <row r="913">
      <c r="E913" s="363"/>
      <c r="K913" s="363"/>
    </row>
    <row r="914">
      <c r="E914" s="363"/>
      <c r="K914" s="363"/>
    </row>
    <row r="915">
      <c r="E915" s="363"/>
      <c r="K915" s="363"/>
    </row>
    <row r="916">
      <c r="E916" s="363"/>
      <c r="K916" s="363"/>
    </row>
    <row r="917">
      <c r="E917" s="363"/>
      <c r="K917" s="363"/>
    </row>
    <row r="918">
      <c r="E918" s="363"/>
      <c r="K918" s="363"/>
    </row>
    <row r="919">
      <c r="E919" s="363"/>
      <c r="K919" s="363"/>
    </row>
    <row r="920">
      <c r="E920" s="363"/>
      <c r="K920" s="363"/>
    </row>
    <row r="921">
      <c r="E921" s="363"/>
      <c r="K921" s="363"/>
    </row>
    <row r="922">
      <c r="E922" s="363"/>
      <c r="K922" s="363"/>
    </row>
    <row r="923">
      <c r="E923" s="363"/>
      <c r="K923" s="363"/>
    </row>
    <row r="924">
      <c r="E924" s="363"/>
      <c r="K924" s="363"/>
    </row>
    <row r="925">
      <c r="E925" s="363"/>
      <c r="K925" s="363"/>
    </row>
    <row r="926">
      <c r="E926" s="363"/>
      <c r="K926" s="363"/>
    </row>
    <row r="927">
      <c r="E927" s="363"/>
      <c r="K927" s="363"/>
    </row>
    <row r="928">
      <c r="E928" s="363"/>
      <c r="K928" s="363"/>
    </row>
    <row r="929">
      <c r="E929" s="363"/>
      <c r="K929" s="363"/>
    </row>
    <row r="930">
      <c r="E930" s="363"/>
      <c r="K930" s="363"/>
    </row>
    <row r="931">
      <c r="E931" s="363"/>
      <c r="K931" s="363"/>
    </row>
    <row r="932">
      <c r="E932" s="363"/>
      <c r="K932" s="363"/>
    </row>
    <row r="933">
      <c r="E933" s="363"/>
      <c r="K933" s="363"/>
    </row>
    <row r="934">
      <c r="E934" s="363"/>
      <c r="K934" s="363"/>
    </row>
    <row r="935">
      <c r="E935" s="363"/>
      <c r="K935" s="363"/>
    </row>
    <row r="936">
      <c r="E936" s="363"/>
      <c r="K936" s="363"/>
    </row>
    <row r="937">
      <c r="E937" s="363"/>
      <c r="K937" s="363"/>
    </row>
    <row r="938">
      <c r="E938" s="363"/>
      <c r="K938" s="363"/>
    </row>
    <row r="939">
      <c r="E939" s="363"/>
      <c r="K939" s="363"/>
    </row>
    <row r="940">
      <c r="E940" s="363"/>
      <c r="K940" s="363"/>
    </row>
    <row r="941">
      <c r="E941" s="363"/>
      <c r="K941" s="363"/>
    </row>
    <row r="942">
      <c r="E942" s="363"/>
      <c r="K942" s="363"/>
    </row>
    <row r="943">
      <c r="E943" s="363"/>
      <c r="K943" s="363"/>
    </row>
    <row r="944">
      <c r="E944" s="363"/>
      <c r="K944" s="363"/>
    </row>
    <row r="945">
      <c r="E945" s="363"/>
      <c r="K945" s="363"/>
    </row>
    <row r="946">
      <c r="E946" s="363"/>
      <c r="K946" s="363"/>
    </row>
    <row r="947">
      <c r="E947" s="363"/>
      <c r="K947" s="363"/>
    </row>
    <row r="948">
      <c r="E948" s="363"/>
      <c r="K948" s="363"/>
    </row>
    <row r="949">
      <c r="E949" s="363"/>
      <c r="K949" s="363"/>
    </row>
    <row r="950">
      <c r="E950" s="363"/>
      <c r="K950" s="363"/>
    </row>
    <row r="951">
      <c r="E951" s="363"/>
      <c r="K951" s="363"/>
    </row>
    <row r="952">
      <c r="E952" s="363"/>
      <c r="K952" s="363"/>
    </row>
    <row r="953">
      <c r="E953" s="363"/>
      <c r="K953" s="363"/>
    </row>
    <row r="954">
      <c r="E954" s="363"/>
      <c r="K954" s="363"/>
    </row>
    <row r="955">
      <c r="E955" s="363"/>
      <c r="K955" s="363"/>
    </row>
    <row r="956">
      <c r="E956" s="363"/>
      <c r="K956" s="363"/>
    </row>
    <row r="957">
      <c r="E957" s="363"/>
      <c r="K957" s="363"/>
    </row>
    <row r="958">
      <c r="E958" s="363"/>
      <c r="K958" s="363"/>
    </row>
    <row r="959">
      <c r="E959" s="363"/>
      <c r="K959" s="363"/>
    </row>
    <row r="960">
      <c r="E960" s="363"/>
      <c r="K960" s="363"/>
    </row>
    <row r="961">
      <c r="E961" s="363"/>
      <c r="K961" s="363"/>
    </row>
    <row r="962">
      <c r="E962" s="363"/>
      <c r="K962" s="363"/>
    </row>
    <row r="963">
      <c r="E963" s="363"/>
      <c r="K963" s="363"/>
    </row>
    <row r="964">
      <c r="E964" s="363"/>
      <c r="K964" s="363"/>
    </row>
    <row r="965">
      <c r="E965" s="363"/>
      <c r="K965" s="363"/>
    </row>
    <row r="966">
      <c r="E966" s="363"/>
      <c r="K966" s="363"/>
    </row>
    <row r="967">
      <c r="E967" s="363"/>
      <c r="K967" s="363"/>
    </row>
    <row r="968">
      <c r="E968" s="363"/>
      <c r="K968" s="363"/>
    </row>
    <row r="969">
      <c r="E969" s="363"/>
      <c r="K969" s="363"/>
    </row>
    <row r="970">
      <c r="E970" s="363"/>
      <c r="K970" s="363"/>
    </row>
    <row r="971">
      <c r="E971" s="363"/>
      <c r="K971" s="363"/>
    </row>
    <row r="972">
      <c r="E972" s="363"/>
      <c r="K972" s="363"/>
    </row>
    <row r="973">
      <c r="E973" s="363"/>
      <c r="K973" s="363"/>
    </row>
    <row r="974">
      <c r="E974" s="363"/>
      <c r="K974" s="363"/>
    </row>
    <row r="975">
      <c r="E975" s="363"/>
      <c r="K975" s="363"/>
    </row>
    <row r="976">
      <c r="E976" s="363"/>
      <c r="K976" s="363"/>
    </row>
    <row r="977">
      <c r="E977" s="363"/>
      <c r="K977" s="363"/>
    </row>
    <row r="978">
      <c r="E978" s="363"/>
      <c r="K978" s="363"/>
    </row>
    <row r="979">
      <c r="E979" s="363"/>
      <c r="K979" s="363"/>
    </row>
    <row r="980">
      <c r="E980" s="363"/>
      <c r="K980" s="363"/>
    </row>
    <row r="981">
      <c r="E981" s="363"/>
      <c r="K981" s="363"/>
    </row>
    <row r="982">
      <c r="E982" s="363"/>
      <c r="K982" s="363"/>
    </row>
    <row r="983">
      <c r="E983" s="363"/>
      <c r="K983" s="363"/>
    </row>
    <row r="984">
      <c r="E984" s="363"/>
      <c r="K984" s="363"/>
    </row>
    <row r="985">
      <c r="E985" s="363"/>
      <c r="K985" s="363"/>
    </row>
    <row r="986">
      <c r="E986" s="363"/>
      <c r="K986" s="363"/>
    </row>
    <row r="987">
      <c r="E987" s="363"/>
      <c r="K987" s="363"/>
    </row>
    <row r="988">
      <c r="E988" s="363"/>
      <c r="K988" s="363"/>
    </row>
    <row r="989">
      <c r="E989" s="363"/>
      <c r="K989" s="363"/>
    </row>
    <row r="990">
      <c r="E990" s="363"/>
      <c r="K990" s="363"/>
    </row>
    <row r="991">
      <c r="E991" s="363"/>
      <c r="K991" s="363"/>
    </row>
    <row r="992">
      <c r="E992" s="363"/>
      <c r="K992" s="363"/>
    </row>
    <row r="993">
      <c r="E993" s="363"/>
      <c r="K993" s="363"/>
    </row>
    <row r="994">
      <c r="E994" s="363"/>
      <c r="K994" s="363"/>
    </row>
    <row r="995">
      <c r="E995" s="363"/>
      <c r="K995" s="363"/>
    </row>
    <row r="996">
      <c r="E996" s="363"/>
      <c r="K996" s="363"/>
    </row>
    <row r="997">
      <c r="E997" s="363"/>
      <c r="K997" s="363"/>
    </row>
    <row r="998">
      <c r="E998" s="363"/>
      <c r="K998" s="363"/>
    </row>
    <row r="999">
      <c r="E999" s="363"/>
      <c r="K999" s="363"/>
    </row>
    <row r="1000">
      <c r="E1000" s="363"/>
      <c r="K1000" s="363"/>
    </row>
  </sheetData>
  <drawing r:id="rId1"/>
</worksheet>
</file>